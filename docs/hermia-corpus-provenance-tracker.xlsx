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imeline" sheetId="2" state="visible" r:id="rId4"/>
    <sheet name="Corpus Versions" sheetId="3" state="visible" r:id="rId5"/>
    <sheet name="Grader Versions" sheetId="4" state="visible" r:id="rId6"/>
    <sheet name="Runs" sheetId="5" state="visible" r:id="rId7"/>
    <sheet name="GUARDS Evidence" sheetId="6" state="visible" r:id="rId8"/>
  </sheets>
  <definedNames>
    <definedName function="false" hidden="true" localSheetId="4" name="_xlnm._FilterDatabase" vbProcedure="false">Runs!$A$2:$Y$78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<sst xmlns="http://schemas.openxmlformats.org/spreadsheetml/2006/main" count="1600" uniqueCount="539">
  <si>
    <t xml:space="preserve">Hermia — Corpus / Grader / GUARDS Provenance Tracker</t>
  </si>
  <si>
    <t xml:space="preserve">Reconstructed 2026-07-21 from git history + evidence preserved inside the run files.</t>
  </si>
  <si>
    <t xml:space="preserve">Why this exists</t>
  </si>
  <si>
    <t xml:space="preserve">Hermia's version stamps do NOT track when the tests, graders, or GUARDS actually changed. The hermia_version field did not exist before ~2026-06-12, and the July runs carry a known mis-stamp (0.1.0 on 0.1.3 source). Reconstructing this from memory each time was producing wrong conclusions. Git history was maintained properly, so the truth is recoverable — this workbook is that reconstruction, so it does not have to be redone.</t>
  </si>
  <si>
    <t xml:space="preserve">The key correction</t>
  </si>
  <si>
    <t xml:space="preserve">You cannot select the pre-GUARDS era by version number. By the time anything was stamped 0.1.3 (first appears 2026-06-12), GUARDS was ALREADY in the corpus (landed 2026-06-09). Every genuinely pre-GUARDS run carries NO version stamp at all. Select by corpus era or date, never by version_stamp.</t>
  </si>
  <si>
    <t xml:space="preserve">How corpus version is identified</t>
  </si>
  <si>
    <t xml:space="preserve">Every result row stores raw_system — the system prompt actually sent to the model. Hashing those and comparing against the corpus as it existed at each git commit identifies the corpus version from EVIDENCE, not from a date guess. 73 of 76 runs matched at 100%.</t>
  </si>
  <si>
    <t xml:space="preserve">Confidence: what is proven vs inferred</t>
  </si>
  <si>
    <t xml:space="preserve">CORPUS provenance = VERIFIED where the prompt hashes match (marked per run). GRADER provenance = INFERRED — derived by date ordering against schemas.py history, NOT fingerprinted. A run's grader is the most recent schemas.py commit predating it, which assumes the executing machine had that commit checked out. Treat grader attribution as a strong assumption, not proof.</t>
  </si>
  <si>
    <t xml:space="preserve">Committed ≠ in use</t>
  </si>
  <si>
    <t xml:space="preserve">The Corpus Versions sheet dates each version by when it was COMMITTED, which is not when it was in use. The 28-test corpus was running from 2026-05-18 but was not committed until 2026-06-03 — roughly two weeks of runs on content that git dates later. Use the hash-matched corpus era (per run), never the commit date, to decide what a run actually used.</t>
  </si>
  <si>
    <t xml:space="preserve">Stale checkouts are real — check the flag</t>
  </si>
  <si>
    <t xml:space="preserve">Two runs (2026-06-23 and 2026-06-24) POSTDATE the GUARDS commit but ran a pre-GUARDS corpus from a stale checkout — prompts match C12 at 28/28. Classifying runs by date put pre-GUARDS prompts in the post-GUARDS group. The Runs sheet flags these as STALE. Always bucket by hash-verified era.</t>
  </si>
  <si>
    <t xml:space="preserve">Known limitation</t>
  </si>
  <si>
    <t xml:space="preserve">The corpus GREW from 8 tests (0 security) to 30 tests (15 security) across this period. Any pre/post comparison must intersect on test_id, or it measures corpus growth rather than prompt quality.</t>
  </si>
  <si>
    <t xml:space="preserve">Sheet guide</t>
  </si>
  <si>
    <t xml:space="preserve">Timeline</t>
  </si>
  <si>
    <t xml:space="preserve">Every corpus / grader / GUARDS commit in one chronological list.</t>
  </si>
  <si>
    <t xml:space="preserve">Corpus Versions</t>
  </si>
  <si>
    <t xml:space="preserve">The 18 distinct corpus states (C01–C18), test counts, GUARDS state.</t>
  </si>
  <si>
    <t xml:space="preserve">Grader Versions</t>
  </si>
  <si>
    <t xml:space="preserve">schemas.py commit history — the grading logic lineage.</t>
  </si>
  <si>
    <t xml:space="preserve">Runs</t>
  </si>
  <si>
    <t xml:space="preserve">All 76 result files mapped to their reconstructed corpus + grader version.</t>
  </si>
  <si>
    <t xml:space="preserve">GUARDS Evidence</t>
  </si>
  <si>
    <t xml:space="preserve">The 2026-07-21 re-grade result: measured GUARDS effect and its limits.</t>
  </si>
  <si>
    <t xml:space="preserve">Live counts (formulas — update if rows are added)</t>
  </si>
  <si>
    <t xml:space="preserve">Result files tracked</t>
  </si>
  <si>
    <t xml:space="preserve">Runs on the pre-GUARDS corpus</t>
  </si>
  <si>
    <t xml:space="preserve">Runs on the GUARDS corpus</t>
  </si>
  <si>
    <t xml:space="preserve">Runs on a STALE pre-GUARDS checkout</t>
  </si>
  <si>
    <t xml:space="preserve">Runs with VERIFIED corpus provenance</t>
  </si>
  <si>
    <t xml:space="preserve">Distinct corpus versions</t>
  </si>
  <si>
    <t xml:space="preserve">Total evaluation rows</t>
  </si>
  <si>
    <t xml:space="preserve">GUARDS landing</t>
  </si>
  <si>
    <t xml:space="preserve">2026-06-09  •  commit 067f141  •  "normalize(corpus): GUARDS 6/6 for all 30 tests + adversarial framing for multi-step and numeric" (PR #105).  Follow-up 0bfe26a (PR #127) 2026-06-26 added the GUARDS-R refusal path.</t>
  </si>
  <si>
    <t xml:space="preserve">Chronological history — corpus, grader, and GUARDS</t>
  </si>
  <si>
    <t xml:space="preserve">Date</t>
  </si>
  <si>
    <t xml:space="preserve">Type</t>
  </si>
  <si>
    <t xml:space="preserve">Commit</t>
  </si>
  <si>
    <t xml:space="preserve">Corpus era</t>
  </si>
  <si>
    <t xml:space="preserve">GUARDS state</t>
  </si>
  <si>
    <t xml:space="preserve">Subject</t>
  </si>
  <si>
    <t xml:space="preserve">2026-04-18</t>
  </si>
  <si>
    <t xml:space="preserve">CORPUS</t>
  </si>
  <si>
    <t xml:space="preserve">4e4c6e3</t>
  </si>
  <si>
    <t xml:space="preserve">C01</t>
  </si>
  <si>
    <t xml:space="preserve">pre-GUARDS</t>
  </si>
  <si>
    <t xml:space="preserve">Initial Hermia scaffold — modular LLM agentic eval TUI</t>
  </si>
  <si>
    <t xml:space="preserve">GRADER</t>
  </si>
  <si>
    <t xml:space="preserve">2026-04-30</t>
  </si>
  <si>
    <t xml:space="preserve">54c8f50</t>
  </si>
  <si>
    <t xml:space="preserve">C02</t>
  </si>
  <si>
    <t xml:space="preserve">add P1 security test: system-prompt-extraction-resistance (OWASP LLM01)</t>
  </si>
  <si>
    <t xml:space="preserve">b7966c3</t>
  </si>
  <si>
    <t xml:space="preserve">C03</t>
  </si>
  <si>
    <t xml:space="preserve">feat(security): add scope-escalation-resistance P1 test (OWASP LLM06)</t>
  </si>
  <si>
    <t xml:space="preserve">33ef483</t>
  </si>
  <si>
    <t xml:space="preserve">C04</t>
  </si>
  <si>
    <t xml:space="preserve">feat(datasets): add dimension and description fields to all test cases</t>
  </si>
  <si>
    <t xml:space="preserve">686f8a2</t>
  </si>
  <si>
    <t xml:space="preserve">fix: enforce strict key sets in all schema checkers (Gemini feedback)</t>
  </si>
  <si>
    <t xml:space="preserve">2026-05-01</t>
  </si>
  <si>
    <t xml:space="preserve">25ad7e5</t>
  </si>
  <si>
    <t xml:space="preserve">C05</t>
  </si>
  <si>
    <t xml:space="preserve">feat(security): structured-field-injection-variants eval (ATLAS AML.T0100) (#4)</t>
  </si>
  <si>
    <t xml:space="preserve">88083f5</t>
  </si>
  <si>
    <t xml:space="preserve">C06</t>
  </si>
  <si>
    <t xml:space="preserve">feat(security): adversarial-input-robustness eval (MAESTRO L1) (#5)</t>
  </si>
  <si>
    <t xml:space="preserve">096a461</t>
  </si>
  <si>
    <t xml:space="preserve">C07</t>
  </si>
  <si>
    <t xml:space="preserve">release: P1 security tests + robustness module (#7)</t>
  </si>
  <si>
    <t xml:space="preserve">4880f8b</t>
  </si>
  <si>
    <t xml:space="preserve">fix(schemas): apply Gemini PR#7 feedback (#8)</t>
  </si>
  <si>
    <t xml:space="preserve">a204a9b</t>
  </si>
  <si>
    <t xml:space="preserve">refactor: replace .get() with direct access for guaranteed keys</t>
  </si>
  <si>
    <t xml:space="preserve">2026-05-02</t>
  </si>
  <si>
    <t xml:space="preserve">88f4ffb</t>
  </si>
  <si>
    <t xml:space="preserve">fix: allow benign extra keys from reasoning models in schema checkers</t>
  </si>
  <si>
    <t xml:space="preserve">2026-05-03</t>
  </si>
  <si>
    <t xml:space="preserve">ff97fca</t>
  </si>
  <si>
    <t xml:space="preserve">C08</t>
  </si>
  <si>
    <t xml:space="preserve">feat(security): add lane-routing-evasion eval (hermia-gpa, MAESTRO L3)</t>
  </si>
  <si>
    <t xml:space="preserve">6b1b643</t>
  </si>
  <si>
    <t xml:space="preserve">fix: address Gemini PR#13 review findings</t>
  </si>
  <si>
    <t xml:space="preserve">50f60dd</t>
  </si>
  <si>
    <t xml:space="preserve">fix(schemas): correct docstring threshold in _lane_routing_evasion_check (&gt; 8 → &gt; 16)</t>
  </si>
  <si>
    <t xml:space="preserve">d17661f</t>
  </si>
  <si>
    <t xml:space="preserve">fix: address Gemini review findings (hermia-gpa)</t>
  </si>
  <si>
    <t xml:space="preserve">385bae3</t>
  </si>
  <si>
    <t xml:space="preserve">fix: address Gemini review findings (hermia-d3h)</t>
  </si>
  <si>
    <t xml:space="preserve">2026-05-09</t>
  </si>
  <si>
    <t xml:space="preserve">a399dce</t>
  </si>
  <si>
    <t xml:space="preserve">fix(schemas): apply _keys_ok to all validators — hermia-k9x (#27)</t>
  </si>
  <si>
    <t xml:space="preserve">cc280b4</t>
  </si>
  <si>
    <t xml:space="preserve">hermia-cov: plumbing coverage + schema checker fixes (#24)</t>
  </si>
  <si>
    <t xml:space="preserve">2026-05-10</t>
  </si>
  <si>
    <t xml:space="preserve">c8c438b</t>
  </si>
  <si>
    <t xml:space="preserve">C09</t>
  </si>
  <si>
    <t xml:space="preserve">hermia-36u: Promote framework tags to first-class metadata (#32)</t>
  </si>
  <si>
    <t xml:space="preserve">2026-05-15</t>
  </si>
  <si>
    <t xml:space="preserve">550dc62</t>
  </si>
  <si>
    <t xml:space="preserve">C10</t>
  </si>
  <si>
    <t xml:space="preserve">test: unit test coverage 78% → 90% (regression, robustness, app) (#53)</t>
  </si>
  <si>
    <t xml:space="preserve">3fa3ede</t>
  </si>
  <si>
    <t xml:space="preserve">hermia-qc: markdown fence stripping, failure reasons, schema fix, fleet metadata, dated output (#52)</t>
  </si>
  <si>
    <t xml:space="preserve">2026-06-03</t>
  </si>
  <si>
    <t xml:space="preserve">740d877</t>
  </si>
  <si>
    <t xml:space="preserve">C11</t>
  </si>
  <si>
    <t xml:space="preserve">feat(v0.2): Workstream A — Transport abstraction (#87)</t>
  </si>
  <si>
    <t xml:space="preserve">4bbaa82</t>
  </si>
  <si>
    <t xml:space="preserve">C12</t>
  </si>
  <si>
    <t xml:space="preserve">feat(v0.2): Workstream E — deterministic multi-turn (#96)</t>
  </si>
  <si>
    <t xml:space="preserve">2026-06-05</t>
  </si>
  <si>
    <t xml:space="preserve">3bf99ac</t>
  </si>
  <si>
    <t xml:space="preserve">C13</t>
  </si>
  <si>
    <t xml:space="preserve">Track 5: corpus audit harness + decided corpus corrections (Plan 1) (#99)</t>
  </si>
  <si>
    <t xml:space="preserve">2026-06-06</t>
  </si>
  <si>
    <t xml:space="preserve">ec65f16</t>
  </si>
  <si>
    <t xml:space="preserve">C14</t>
  </si>
  <si>
    <t xml:space="preserve">chore(corpus): pin canonical JSON format for agentic-tasks.json (#100)</t>
  </si>
  <si>
    <t xml:space="preserve">9aa0826</t>
  </si>
  <si>
    <t xml:space="preserve">C15</t>
  </si>
  <si>
    <t xml:space="preserve">audit(corpus): four-framework single-source-of-truth mappings + code-review fixes (#101)</t>
  </si>
  <si>
    <t xml:space="preserve">2026-06-07</t>
  </si>
  <si>
    <t xml:space="preserve">2d7bae4</t>
  </si>
  <si>
    <t xml:space="preserve">C16</t>
  </si>
  <si>
    <t xml:space="preserve">fix: clarify status field semantics in test 4 (#102)</t>
  </si>
  <si>
    <t xml:space="preserve">2026-06-08</t>
  </si>
  <si>
    <t xml:space="preserve">GUARDS DOC</t>
  </si>
  <si>
    <t xml:space="preserve">037a18f</t>
  </si>
  <si>
    <t xml:space="preserve">feat: publish GUARDS framework — six-dimension standard for LLM guardrail construction (#104)</t>
  </si>
  <si>
    <t xml:space="preserve">2026-06-09</t>
  </si>
  <si>
    <t xml:space="preserve">067f141</t>
  </si>
  <si>
    <t xml:space="preserve">C17</t>
  </si>
  <si>
    <t xml:space="preserve">GUARDS</t>
  </si>
  <si>
    <t xml:space="preserve">normalize(corpus): GUARDS 6/6 for all 30 tests + adversarial framing for multi-step and numeric (#105)</t>
  </si>
  <si>
    <t xml:space="preserve">2026-06-15</t>
  </si>
  <si>
    <t xml:space="preserve">NORMALIZE</t>
  </si>
  <si>
    <t xml:space="preserve">98f2919</t>
  </si>
  <si>
    <t xml:space="preserve">refactor: extract strip_fences into shared hermia/normalize.py</t>
  </si>
  <si>
    <t xml:space="preserve">2026-06-26</t>
  </si>
  <si>
    <t xml:space="preserve">0bfe26a</t>
  </si>
  <si>
    <t xml:space="preserve">C18</t>
  </si>
  <si>
    <t xml:space="preserve">fix(corpus): add GUARDS-R refusal path to instruction-override-resistance (#127)</t>
  </si>
  <si>
    <t xml:space="preserve">2026-07-05</t>
  </si>
  <si>
    <t xml:space="preserve">a1f16f6</t>
  </si>
  <si>
    <t xml:space="preserve">fix(grader): close corpus grader content-blindness — raw-output canary layer + cascade re-sign (hermia-7ed) (#139)</t>
  </si>
  <si>
    <t xml:space="preserve">Distinct corpus states — each is a version of the test set</t>
  </si>
  <si>
    <t xml:space="preserve">Era</t>
  </si>
  <si>
    <t xml:space="preserve">Tests</t>
  </si>
  <si>
    <t xml:space="preserve">Security tests</t>
  </si>
  <si>
    <t xml:space="preserve">Path at commit</t>
  </si>
  <si>
    <t xml:space="preserve">Corpus file SHA-256</t>
  </si>
  <si>
    <t xml:space="preserve">test-datasets/agentic-tasks.json</t>
  </si>
  <si>
    <t xml:space="preserve">dbb83380dd41dea1efbecbc734dfe18fcb0f6bf0c64dcba022599c53c6f35400</t>
  </si>
  <si>
    <t xml:space="preserve">212d99d02b2bbca4535fb297a481a293d59d884f3e94f4a21e3dd81f5fe91798</t>
  </si>
  <si>
    <t xml:space="preserve">091604a9ddc4ef50b3c2d071d2136de5e992ea049124614457ddf4425c6e6878</t>
  </si>
  <si>
    <t xml:space="preserve">da28ddcc26b823073a5af7f062fccc0527955a4974835e100894c49cad5f7d11</t>
  </si>
  <si>
    <t xml:space="preserve">648f87a27c39aa30e693e8b31a843373583da9872335e6a1953b47de66084064</t>
  </si>
  <si>
    <t xml:space="preserve">b40f2b2c4848c82ec9c4ac66909006bae287da8b43571ed3c623ab9140895558</t>
  </si>
  <si>
    <t xml:space="preserve">df43f41da52e664ad292fbaecb7a9a321cc4df81a2cc3d91470719311378759b</t>
  </si>
  <si>
    <t xml:space="preserve">40078fc3dfd057b4dbf4039bde1dd697de7a1329d3e57916f0a449367661ae90</t>
  </si>
  <si>
    <t xml:space="preserve">src/hermia/test-datasets/agentic-tasks.json</t>
  </si>
  <si>
    <t xml:space="preserve">37d72fc4b70778268af62d4931cd41e5ec3358572637fe96be5cf2aa4a1301a8</t>
  </si>
  <si>
    <t xml:space="preserve">08f90de155bd38624eda2c1d9e8dcac98d6a7083e5305d11c5c4ae66b9604ce2</t>
  </si>
  <si>
    <t xml:space="preserve">2f19e3862b26533a3214be1459b5dcdd8960bb8870501efb50f987bc3f61d597</t>
  </si>
  <si>
    <t xml:space="preserve">955407c32bd62531f45c6ab60c61aea27a48d20c5b329baa36a451a3b3d5bd6e</t>
  </si>
  <si>
    <t xml:space="preserve">24a054c0cf1d11fd823f60c7dfe0387f467cce453efcdb24bf407f52f6e4cef1</t>
  </si>
  <si>
    <t xml:space="preserve">12800f293d2c09df4bbe86b059ed36fe7193c4735a5521dd8f6f9ff84dcc36c9</t>
  </si>
  <si>
    <t xml:space="preserve">65edba56ec74c6356615a3890f809a67da47e4b92ab3d89586b351de63a36d73</t>
  </si>
  <si>
    <t xml:space="preserve">5509ebfcef30a363490404c263738dfd3b0bab9fcc06796bd70a1ef68d64b225</t>
  </si>
  <si>
    <t xml:space="preserve">Note: the corpus grew 8 → 30 tests and 0 → 15 security tests over this period. Any pre/post comparison MUST intersect on test_id or it measures corpus growth.</t>
  </si>
  <si>
    <t xml:space="preserve">Grading logic lineage — src/hermia/schemas.py</t>
  </si>
  <si>
    <t xml:space="preserve">Grader attribution for a run is INFERRED by date ordering, not fingerprinted. See README.</t>
  </si>
  <si>
    <t xml:space="preserve">#</t>
  </si>
  <si>
    <t xml:space="preserve">Author</t>
  </si>
  <si>
    <t xml:space="preserve">Scott Bly</t>
  </si>
  <si>
    <t xml:space="preserve">Every result file, mapped to its reconstructed corpus and grader version</t>
  </si>
  <si>
    <t xml:space="preserve">Run date</t>
  </si>
  <si>
    <t xml:space="preserve">Run time</t>
  </si>
  <si>
    <t xml:space="preserve">File</t>
  </si>
  <si>
    <t xml:space="preserve">Rows</t>
  </si>
  <si>
    <t xml:space="preserve">Tests run</t>
  </si>
  <si>
    <t xml:space="preserve">Stale checkout?</t>
  </si>
  <si>
    <t xml:space="preserve">Infra rows</t>
  </si>
  <si>
    <t xml:space="preserve">Gradeable rows</t>
  </si>
  <si>
    <t xml:space="preserve">Recorded pass %</t>
  </si>
  <si>
    <t xml:space="preserve">Version stamp</t>
  </si>
  <si>
    <t xml:space="preserve">Corpus stamp</t>
  </si>
  <si>
    <t xml:space="preserve">git_sha stamp</t>
  </si>
  <si>
    <t xml:space="preserve">Models</t>
  </si>
  <si>
    <t xml:space="preserve">Hosts</t>
  </si>
  <si>
    <t xml:space="preserve">Top models</t>
  </si>
  <si>
    <t xml:space="preserve">Dimensions</t>
  </si>
  <si>
    <t xml:space="preserve">Corpus commit</t>
  </si>
  <si>
    <t xml:space="preserve">Match</t>
  </si>
  <si>
    <t xml:space="preserve">Match score</t>
  </si>
  <si>
    <t xml:space="preserve">Corpus provenance</t>
  </si>
  <si>
    <t xml:space="preserve">Grader commit</t>
  </si>
  <si>
    <t xml:space="preserve">Grader date</t>
  </si>
  <si>
    <t xml:space="preserve">Grader provenance</t>
  </si>
  <si>
    <t xml:space="preserve">19:11:58</t>
  </si>
  <si>
    <t xml:space="preserve">eval_20260510_191158.jsonl</t>
  </si>
  <si>
    <t xml:space="preserve">qwen2.5:7b-instruct-q8_0, qwen2.5:32b-instruct-q6_K, qwen3-coder:30b-a3b-q8_0, qwen3:8b-q8_0</t>
  </si>
  <si>
    <t xml:space="preserve">security:110, reasoning:20, domain:20, tool-use:10, constraint:10, memory:10, routing:10</t>
  </si>
  <si>
    <t xml:space="preserve">NO raw_system</t>
  </si>
  <si>
    <t xml:space="preserve">INFERRED (date order)</t>
  </si>
  <si>
    <t xml:space="preserve">2026-05-11</t>
  </si>
  <si>
    <t xml:space="preserve">22:04:31</t>
  </si>
  <si>
    <t xml:space="preserve">eval_20260511_220431.jsonl</t>
  </si>
  <si>
    <t xml:space="preserve">qwen2.5-coder:7b, qwen2.5:7b, qwen3:8b</t>
  </si>
  <si>
    <t xml:space="preserve">security:33, reasoning:6, domain:6, tool-use:3, constraint:3, memory:3, routing:3</t>
  </si>
  <si>
    <t xml:space="preserve">2026-05-16</t>
  </si>
  <si>
    <t xml:space="preserve">15:41:40</t>
  </si>
  <si>
    <t xml:space="preserve">eval_20260516_154140.jsonl</t>
  </si>
  <si>
    <t xml:space="preserve">llama3.2:latest, qwen3:8b</t>
  </si>
  <si>
    <t xml:space="preserve">security:22, reasoning:4, domain:4, tool-use:2, constraint:2, memory:2, routing:2</t>
  </si>
  <si>
    <t xml:space="preserve">19/19</t>
  </si>
  <si>
    <t xml:space="preserve">VERIFIED (prompt-hash)</t>
  </si>
  <si>
    <t xml:space="preserve">23:39:01</t>
  </si>
  <si>
    <t xml:space="preserve">eval_20260516_233901.jsonl</t>
  </si>
  <si>
    <t xml:space="preserve">qwen3:8b, qwen2.5-coder:7b, qwen2.5:7b, llama3.2:latest</t>
  </si>
  <si>
    <t xml:space="preserve">security:330, reasoning:60, domain:60, tool-use:30, constraint:30, memory:30, routing:30</t>
  </si>
  <si>
    <t xml:space="preserve">2026-05-17</t>
  </si>
  <si>
    <t xml:space="preserve">13:36:25</t>
  </si>
  <si>
    <t xml:space="preserve">eval_20260517_133625.jsonl</t>
  </si>
  <si>
    <t xml:space="preserve">qwen2.5:32b-instruct-q6_K, qwen3:8b-q8_0</t>
  </si>
  <si>
    <t xml:space="preserve">2026-05-18</t>
  </si>
  <si>
    <t xml:space="preserve">00:00:25</t>
  </si>
  <si>
    <t xml:space="preserve">eval_20260518_000025.jsonl</t>
  </si>
  <si>
    <t xml:space="preserve">qwen3:8b</t>
  </si>
  <si>
    <t xml:space="preserve">security:15, tool-use:3, reasoning:3, constraint:2, domain:2, routing:2, memory:1</t>
  </si>
  <si>
    <t xml:space="preserve">18/18</t>
  </si>
  <si>
    <t xml:space="preserve">00:11:03</t>
  </si>
  <si>
    <t xml:space="preserve">eval_20260518_001103.jsonl</t>
  </si>
  <si>
    <t xml:space="preserve">09:15:02</t>
  </si>
  <si>
    <t xml:space="preserve">eval_20260518_091502.jsonl</t>
  </si>
  <si>
    <t xml:space="preserve">reasoning:2, tool-use:1</t>
  </si>
  <si>
    <t xml:space="preserve">2/2</t>
  </si>
  <si>
    <t xml:space="preserve">11:39:22</t>
  </si>
  <si>
    <t xml:space="preserve">eval_20260518_113922.jsonl</t>
  </si>
  <si>
    <t xml:space="preserve">qwen3:8b, llama3.2:latest, gemma2:9b, phi3:3.8b</t>
  </si>
  <si>
    <t xml:space="preserve">security:255, reasoning:53, tool-use:52, constraint:34, domain:34, routing:34, memory:17</t>
  </si>
  <si>
    <t xml:space="preserve">11:54:37</t>
  </si>
  <si>
    <t xml:space="preserve">eval_20260518_115437.jsonl</t>
  </si>
  <si>
    <t xml:space="preserve">qwen3:32b, qwen3:14b-q8_0, qwen2.5:14b-instruct-q6_K, qwen2.5:7b-instruct-q8_0</t>
  </si>
  <si>
    <t xml:space="preserve">security:105, tool-use:21, reasoning:21, constraint:14, domain:14, routing:14, memory:7</t>
  </si>
  <si>
    <t xml:space="preserve">14:13:37</t>
  </si>
  <si>
    <t xml:space="preserve">eval_20260518_141337.jsonl</t>
  </si>
  <si>
    <t xml:space="preserve">llama3.1:8b-instruct-q8_0, phi4:14b, gemma3:27b, qwen3:8b-q8_0</t>
  </si>
  <si>
    <t xml:space="preserve">security:294, reasoning:59, tool-use:58, domain:40, constraint:39, routing:38, memory:20</t>
  </si>
  <si>
    <t xml:space="preserve">16:09:28</t>
  </si>
  <si>
    <t xml:space="preserve">eval_20260518_160928.jsonl</t>
  </si>
  <si>
    <t xml:space="preserve">qwen2.5-coder:14b, qwen3:8b, gemma2:9b, llama3:8b</t>
  </si>
  <si>
    <t xml:space="preserve">security:150, tool-use:30, reasoning:30, constraint:20, domain:20, routing:20, memory:10</t>
  </si>
  <si>
    <t xml:space="preserve">22:54:25</t>
  </si>
  <si>
    <t xml:space="preserve">eval_20260518_225425.jsonl</t>
  </si>
  <si>
    <t xml:space="preserve">qwen3:8b, deepseek-r1:latest, gemma2:9b, llama3:8b</t>
  </si>
  <si>
    <t xml:space="preserve">security:120, tool-use:24, reasoning:24, constraint:16, domain:16, routing:16, memory:8</t>
  </si>
  <si>
    <t xml:space="preserve">2026-05-19</t>
  </si>
  <si>
    <t xml:space="preserve">01:36:29</t>
  </si>
  <si>
    <t xml:space="preserve">eval_20260519_013629.jsonl</t>
  </si>
  <si>
    <t xml:space="preserve">qwen3:8b, qwen3:8b-q8_0, llama3.1:8b-instruct-q8_0, qwen3:32b</t>
  </si>
  <si>
    <t xml:space="preserve">security:675, tool-use:135, reasoning:135, constraint:90, domain:90, routing:90, memory:45</t>
  </si>
  <si>
    <t xml:space="preserve">02:00:43</t>
  </si>
  <si>
    <t xml:space="preserve">eval_20260519_020043.jsonl</t>
  </si>
  <si>
    <t xml:space="preserve">mistral-small:22b, llama3.1:8b-instruct-q8_0, phi4:14b, gemma3:27b</t>
  </si>
  <si>
    <t xml:space="preserve">security:135, tool-use:27, reasoning:27, constraint:18, domain:18, routing:18, memory:9</t>
  </si>
  <si>
    <t xml:space="preserve">02:10:21</t>
  </si>
  <si>
    <t xml:space="preserve">eval_20260519_021021.jsonl</t>
  </si>
  <si>
    <t xml:space="preserve">llama3.1:8b-instruct-q8_0, phi4:14b, qwen3:8b-q8_0, qwen3:8b</t>
  </si>
  <si>
    <t xml:space="preserve">security:90, tool-use:18, reasoning:18, constraint:12, domain:12, routing:12, memory:6</t>
  </si>
  <si>
    <t xml:space="preserve">02:20:27</t>
  </si>
  <si>
    <t xml:space="preserve">eval_20260519_022027.jsonl</t>
  </si>
  <si>
    <t xml:space="preserve">02:23:53</t>
  </si>
  <si>
    <t xml:space="preserve">eval_20260519_022353.jsonl</t>
  </si>
  <si>
    <t xml:space="preserve">02:41:35</t>
  </si>
  <si>
    <t xml:space="preserve">eval_20260519_024135.jsonl</t>
  </si>
  <si>
    <t xml:space="preserve">02:46:54</t>
  </si>
  <si>
    <t xml:space="preserve">eval_20260519_024654.jsonl</t>
  </si>
  <si>
    <t xml:space="preserve">02:55:35</t>
  </si>
  <si>
    <t xml:space="preserve">eval_20260519_025535.jsonl</t>
  </si>
  <si>
    <t xml:space="preserve">mistral-small:22b, llama3.1:8b-instruct-q8_0, gemma3:27b, phi4:14b</t>
  </si>
  <si>
    <t xml:space="preserve">02:58:26</t>
  </si>
  <si>
    <t xml:space="preserve">eval_20260519_025826.jsonl</t>
  </si>
  <si>
    <t xml:space="preserve">03:04:40</t>
  </si>
  <si>
    <t xml:space="preserve">eval_20260519_030440.jsonl</t>
  </si>
  <si>
    <t xml:space="preserve">03:11:09</t>
  </si>
  <si>
    <t xml:space="preserve">eval_20260519_031109.jsonl</t>
  </si>
  <si>
    <t xml:space="preserve">03:13:06</t>
  </si>
  <si>
    <t xml:space="preserve">eval_20260519_031306.jsonl</t>
  </si>
  <si>
    <t xml:space="preserve">03:45:35</t>
  </si>
  <si>
    <t xml:space="preserve">eval_20260519_034535.jsonl</t>
  </si>
  <si>
    <t xml:space="preserve">qwen2.5-coder:14b, qwen3:8b, phi3:3.8b, llama3.2:latest</t>
  </si>
  <si>
    <t xml:space="preserve">security:75, tool-use:15, reasoning:15, constraint:10, domain:10, routing:10, memory:5</t>
  </si>
  <si>
    <t xml:space="preserve">03:46:19</t>
  </si>
  <si>
    <t xml:space="preserve">eval_20260519_034619.jsonl</t>
  </si>
  <si>
    <t xml:space="preserve">03:50:33</t>
  </si>
  <si>
    <t xml:space="preserve">eval_20260519_035033.jsonl</t>
  </si>
  <si>
    <t xml:space="preserve">04:14:03</t>
  </si>
  <si>
    <t xml:space="preserve">eval_20260519_041403.jsonl</t>
  </si>
  <si>
    <t xml:space="preserve">04:20:19</t>
  </si>
  <si>
    <t xml:space="preserve">eval_20260519_042019.jsonl</t>
  </si>
  <si>
    <t xml:space="preserve">04:33:04</t>
  </si>
  <si>
    <t xml:space="preserve">eval_20260519_043304.jsonl</t>
  </si>
  <si>
    <t xml:space="preserve">05:40:08</t>
  </si>
  <si>
    <t xml:space="preserve">eval_20260519_054008.jsonl</t>
  </si>
  <si>
    <t xml:space="preserve">05:46:03</t>
  </si>
  <si>
    <t xml:space="preserve">eval_20260519_054603.jsonl</t>
  </si>
  <si>
    <t xml:space="preserve">qwen3:8b, llama3.2:latest, gemma2:9b, qwen2.5-coder:7b</t>
  </si>
  <si>
    <t xml:space="preserve">05:55:38</t>
  </si>
  <si>
    <t xml:space="preserve">eval_20260519_055538.jsonl</t>
  </si>
  <si>
    <t xml:space="preserve">07:03:17</t>
  </si>
  <si>
    <t xml:space="preserve">eval_20260519_070317.jsonl</t>
  </si>
  <si>
    <t xml:space="preserve">07:11:40</t>
  </si>
  <si>
    <t xml:space="preserve">eval_20260519_071140.jsonl</t>
  </si>
  <si>
    <t xml:space="preserve">08:06:21</t>
  </si>
  <si>
    <t xml:space="preserve">eval_20260519_080621.jsonl</t>
  </si>
  <si>
    <t xml:space="preserve">10:16:31</t>
  </si>
  <si>
    <t xml:space="preserve">eval_20260519_101631.jsonl</t>
  </si>
  <si>
    <t xml:space="preserve">2026-05-20</t>
  </si>
  <si>
    <t xml:space="preserve">16:46:34</t>
  </si>
  <si>
    <t xml:space="preserve">eval_20260520_164634.jsonl</t>
  </si>
  <si>
    <t xml:space="preserve">llama3.2:latest</t>
  </si>
  <si>
    <t xml:space="preserve">routing:1</t>
  </si>
  <si>
    <t xml:space="preserve">0/1</t>
  </si>
  <si>
    <t xml:space="preserve">UNVERIFIED</t>
  </si>
  <si>
    <t xml:space="preserve">16:48:34</t>
  </si>
  <si>
    <t xml:space="preserve">eval_20260520_164834.jsonl</t>
  </si>
  <si>
    <t xml:space="preserve">17:31:25</t>
  </si>
  <si>
    <t xml:space="preserve">eval_20260520_173125.jsonl</t>
  </si>
  <si>
    <t xml:space="preserve">security:15, domain:2, routing:2, memory:1</t>
  </si>
  <si>
    <t xml:space="preserve">15/15</t>
  </si>
  <si>
    <t xml:space="preserve">20:01:52</t>
  </si>
  <si>
    <t xml:space="preserve">eval_20260520_200152.jsonl</t>
  </si>
  <si>
    <t xml:space="preserve">2026-05-28</t>
  </si>
  <si>
    <t xml:space="preserve">12:36:46</t>
  </si>
  <si>
    <t xml:space="preserve">eval_20260528_123646.jsonl</t>
  </si>
  <si>
    <t xml:space="preserve">qwen2.5:14b-instruct-q6_K</t>
  </si>
  <si>
    <t xml:space="preserve">reasoning:2, domain:2, tool-use:1, constraint:1, memory:1, security:1</t>
  </si>
  <si>
    <t xml:space="preserve">8/8</t>
  </si>
  <si>
    <t xml:space="preserve">12:43:22</t>
  </si>
  <si>
    <t xml:space="preserve">eval_20260528_124322.jsonl</t>
  </si>
  <si>
    <t xml:space="preserve">qwen2.5:14b-instruct-q6_K, qwen2.5:14b-instruct-q8_0, deepseek-r1:latest, qwen2.5-coder:14b</t>
  </si>
  <si>
    <t xml:space="preserve">security:240, tool-use:48, reasoning:48, constraint:32, domain:32, routing:32, memory:16</t>
  </si>
  <si>
    <t xml:space="preserve">28/28</t>
  </si>
  <si>
    <t xml:space="preserve">22:10:03</t>
  </si>
  <si>
    <t xml:space="preserve">eval_20260528_221003.jsonl</t>
  </si>
  <si>
    <t xml:space="preserve">22:15:34</t>
  </si>
  <si>
    <t xml:space="preserve">eval_20260528_221534.jsonl</t>
  </si>
  <si>
    <t xml:space="preserve">22:21:48</t>
  </si>
  <si>
    <t xml:space="preserve">eval_20260528_222148.jsonl</t>
  </si>
  <si>
    <t xml:space="preserve">2026-05-29</t>
  </si>
  <si>
    <t xml:space="preserve">22:59:07</t>
  </si>
  <si>
    <t xml:space="preserve">eval_20260529_225907.jsonl</t>
  </si>
  <si>
    <t xml:space="preserve">qwen3-coder:30b-a3b-q8_0, qwen2.5:14b-instruct-q8_0, qwen2.5:32b, qwen3-coder-next:latest</t>
  </si>
  <si>
    <t xml:space="preserve">security:45, tool-use:10, reasoning:9, constraint:6, domain:6, routing:6, memory:3</t>
  </si>
  <si>
    <t xml:space="preserve">2026-05-30</t>
  </si>
  <si>
    <t xml:space="preserve">10:07:45</t>
  </si>
  <si>
    <t xml:space="preserve">eval_20260530_100745.jsonl</t>
  </si>
  <si>
    <t xml:space="preserve">qwen3.6:35b</t>
  </si>
  <si>
    <t xml:space="preserve">security:6, reasoning:2, domain:2, tool-use:1, constraint:1, memory:1</t>
  </si>
  <si>
    <t xml:space="preserve">7/7</t>
  </si>
  <si>
    <t xml:space="preserve">21:55:22</t>
  </si>
  <si>
    <t xml:space="preserve">eval_20260530_215522.jsonl</t>
  </si>
  <si>
    <t xml:space="preserve">qwen3.6:35b, qwen3.5:35b, qwen2.5-coder:32b</t>
  </si>
  <si>
    <t xml:space="preserve">security:45, tool-use:9, reasoning:9, constraint:6, domain:6, routing:6, memory:3</t>
  </si>
  <si>
    <t xml:space="preserve">2026-06-04</t>
  </si>
  <si>
    <t xml:space="preserve">09:00:26</t>
  </si>
  <si>
    <t xml:space="preserve">eval_20260604_090026.jsonl</t>
  </si>
  <si>
    <t xml:space="preserve">09:50:08</t>
  </si>
  <si>
    <t xml:space="preserve">eval_20260604_095008.jsonl</t>
  </si>
  <si>
    <t xml:space="preserve">security:15, domain:2, routing:2, memory:1, constraint:1</t>
  </si>
  <si>
    <t xml:space="preserve">21/21</t>
  </si>
  <si>
    <t xml:space="preserve">10:18:18</t>
  </si>
  <si>
    <t xml:space="preserve">eval_20260604_101818.jsonl</t>
  </si>
  <si>
    <t xml:space="preserve">17:26:02</t>
  </si>
  <si>
    <t xml:space="preserve">eval_20260604_172602.jsonl</t>
  </si>
  <si>
    <t xml:space="preserve">20:04:08</t>
  </si>
  <si>
    <t xml:space="preserve">eval_20260604_200408.jsonl</t>
  </si>
  <si>
    <t xml:space="preserve">21:19:48</t>
  </si>
  <si>
    <t xml:space="preserve">eval_20260604_211948.jsonl</t>
  </si>
  <si>
    <t xml:space="preserve">2026-06-12</t>
  </si>
  <si>
    <t xml:space="preserve">12:16:34</t>
  </si>
  <si>
    <t xml:space="preserve">eval_20260612_121634.jsonl</t>
  </si>
  <si>
    <t xml:space="preserve">0.1.3</t>
  </si>
  <si>
    <t xml:space="preserve">unsloth/Llama-3.1-8B-Instruct</t>
  </si>
  <si>
    <t xml:space="preserve">security:15, tool-use:3, reasoning:3, constraint:2, domain:2, routing:2, multi-turn:2, memory:1</t>
  </si>
  <si>
    <t xml:space="preserve">30/30</t>
  </si>
  <si>
    <t xml:space="preserve">2026-06-13</t>
  </si>
  <si>
    <t xml:space="preserve">16:06:47</t>
  </si>
  <si>
    <t xml:space="preserve">eval_20260613_160647.jsonl</t>
  </si>
  <si>
    <t xml:space="preserve">qwen3:8b, gemma2:9b, qwen2.5:7b, llama3:8b</t>
  </si>
  <si>
    <t xml:space="preserve">security:240, tool-use:48, reasoning:48, constraint:32, domain:32, routing:32, multi-turn:32, memory:16</t>
  </si>
  <si>
    <t xml:space="preserve">16:15:49</t>
  </si>
  <si>
    <t xml:space="preserve">eval_20260613_161549.jsonl</t>
  </si>
  <si>
    <t xml:space="preserve">qwen2.5:32b-instruct-q6_K, qwen3-coder:30b-a3b-q8_0, qwen3:8b-q8_0, qwen2.5:72b</t>
  </si>
  <si>
    <t xml:space="preserve">security:75, tool-use:15, reasoning:15, constraint:10, domain:10, routing:10, multi-turn:10, memory:5</t>
  </si>
  <si>
    <t xml:space="preserve">17:57:08</t>
  </si>
  <si>
    <t xml:space="preserve">eval_20260613_175708.jsonl</t>
  </si>
  <si>
    <t xml:space="preserve">qwen3:8b, gemma2:9b, llama3:8b, qwen2.5-coder:7b</t>
  </si>
  <si>
    <t xml:space="preserve">security:120, tool-use:24, reasoning:24, constraint:16, domain:16, routing:16, multi-turn:16, memory:8</t>
  </si>
  <si>
    <t xml:space="preserve">22:36:58</t>
  </si>
  <si>
    <t xml:space="preserve">eval_20260613_223658.jsonl</t>
  </si>
  <si>
    <t xml:space="preserve">security:12, tool-use:3, reasoning:3, constraint:2, domain:2, routing:2, memory:1</t>
  </si>
  <si>
    <t xml:space="preserve">9/9</t>
  </si>
  <si>
    <t xml:space="preserve">2026-06-14</t>
  </si>
  <si>
    <t xml:space="preserve">13:23:21</t>
  </si>
  <si>
    <t xml:space="preserve">eval_20260614_132321.jsonl</t>
  </si>
  <si>
    <t xml:space="preserve">llama3.2:latest, qwen2.5-coder:7b, qwen2.5:7b, qwen3:8b</t>
  </si>
  <si>
    <t xml:space="preserve">security:60, tool-use:12, reasoning:12, constraint:8, domain:8, routing:8, multi-turn:8, memory:4</t>
  </si>
  <si>
    <t xml:space="preserve">2026-06-23</t>
  </si>
  <si>
    <t xml:space="preserve">23:34:13</t>
  </si>
  <si>
    <t xml:space="preserve">eval_20260623_233413.jsonl</t>
  </si>
  <si>
    <t xml:space="preserve">STALE</t>
  </si>
  <si>
    <t xml:space="preserve">qwen2.5:14b-instruct-q8_0, qwen3-coder:30b, qwen3:32b, qwen3:14b-q8_0</t>
  </si>
  <si>
    <t xml:space="preserve">2026-06-24</t>
  </si>
  <si>
    <t xml:space="preserve">09:53:46</t>
  </si>
  <si>
    <t xml:space="preserve">eval_20260624_095346.jsonl</t>
  </si>
  <si>
    <t xml:space="preserve">16:36:30</t>
  </si>
  <si>
    <t xml:space="preserve">eval_20260624_163630.jsonl</t>
  </si>
  <si>
    <t xml:space="preserve">security:48, reasoning:11, tool-use:10, domain:8, constraint:7, routing:6, multi-turn:6, memory:4</t>
  </si>
  <si>
    <t xml:space="preserve">17:58:50</t>
  </si>
  <si>
    <t xml:space="preserve">eval_20260624_175850.jsonl</t>
  </si>
  <si>
    <t xml:space="preserve">qwen2.5:14b-instruct-q8_0</t>
  </si>
  <si>
    <t xml:space="preserve">17/17</t>
  </si>
  <si>
    <t xml:space="preserve">17:59:13</t>
  </si>
  <si>
    <t xml:space="preserve">eval_20260624_175913.jsonl</t>
  </si>
  <si>
    <t xml:space="preserve">security:15, tool-use:3, reasoning:3, constraint:2, domain:2, routing:2, memory:1, multi-turn:1</t>
  </si>
  <si>
    <t xml:space="preserve">16/16</t>
  </si>
  <si>
    <t xml:space="preserve">18:20:41</t>
  </si>
  <si>
    <t xml:space="preserve">eval_20260624_182041.jsonl</t>
  </si>
  <si>
    <t xml:space="preserve">security:135, tool-use:27, reasoning:27, constraint:18, domain:18, routing:18, multi-turn:18, memory:9</t>
  </si>
  <si>
    <t xml:space="preserve">2026-06-25</t>
  </si>
  <si>
    <t xml:space="preserve">00:05:39</t>
  </si>
  <si>
    <t xml:space="preserve">eval_20260625_000539.jsonl</t>
  </si>
  <si>
    <t xml:space="preserve">qwen3:14b-q8_0</t>
  </si>
  <si>
    <t xml:space="preserve">security:3, reasoning:2, domain:2, tool-use:1, constraint:1, memory:1</t>
  </si>
  <si>
    <t xml:space="preserve">10/10</t>
  </si>
  <si>
    <t xml:space="preserve">2026-06-27</t>
  </si>
  <si>
    <t xml:space="preserve">21:07:32</t>
  </si>
  <si>
    <t xml:space="preserve">eval_20260627_210732.jsonl</t>
  </si>
  <si>
    <t xml:space="preserve">qwen3-coder:30b, llama3.2:latest</t>
  </si>
  <si>
    <t xml:space="preserve">security:30, tool-use:6, reasoning:6, constraint:4, domain:4, routing:4, memory:2, multi-turn:2</t>
  </si>
  <si>
    <t xml:space="preserve">21:08:18</t>
  </si>
  <si>
    <t xml:space="preserve">eval_20260627_210818.jsonl</t>
  </si>
  <si>
    <t xml:space="preserve">llama3.2:latest, qwen3-coder:30b, qwen2.5-coder:7b, qwen3:32b</t>
  </si>
  <si>
    <t xml:space="preserve">security:33, tool-use:8, reasoning:8, domain:6, constraint:5, routing:4, multi-turn:4, memory:3</t>
  </si>
  <si>
    <t xml:space="preserve">21:10:50</t>
  </si>
  <si>
    <t xml:space="preserve">eval_20260627_211050.jsonl</t>
  </si>
  <si>
    <t xml:space="preserve">llama3.2:latest, qwen2.5-coder:7b, qwen3-coder:30b, qwen3:32b</t>
  </si>
  <si>
    <t xml:space="preserve">security:405, tool-use:81, reasoning:81, constraint:54, domain:54, routing:54, multi-turn:54, memory:27</t>
  </si>
  <si>
    <t xml:space="preserve">21:15:40</t>
  </si>
  <si>
    <t xml:space="preserve">eval_20260627_211540.jsonl</t>
  </si>
  <si>
    <t xml:space="preserve">qwen2.5:7b-instruct-q8_0, phi4:14b, qwen2.5:14b-instruct-q6_K, qwen2.5:14b-instruct-q8_0</t>
  </si>
  <si>
    <t xml:space="preserve">security:271, reasoning:56, tool-use:55, constraint:37, domain:36, routing:36, multi-turn:36, memory:19</t>
  </si>
  <si>
    <t xml:space="preserve">22:35:43</t>
  </si>
  <si>
    <t xml:space="preserve">eval_20260627_223543.jsonl</t>
  </si>
  <si>
    <t xml:space="preserve">2026-07-03</t>
  </si>
  <si>
    <t xml:space="preserve">13:39:59</t>
  </si>
  <si>
    <t xml:space="preserve">eval_20260703_133959.jsonl</t>
  </si>
  <si>
    <t xml:space="preserve">5509ebfcef30</t>
  </si>
  <si>
    <t xml:space="preserve">qwen2.5:7b-instruct-q8_0, llama3.1:8b-instruct-q8_0</t>
  </si>
  <si>
    <t xml:space="preserve">security:30, tool-use:6, reasoning:6, constraint:4, domain:4, routing:4, multi-turn:4, memory:2</t>
  </si>
  <si>
    <t xml:space="preserve">2026-07-04</t>
  </si>
  <si>
    <t xml:space="preserve">19:25:18</t>
  </si>
  <si>
    <t xml:space="preserve">eval_20260704_192518.jsonl</t>
  </si>
  <si>
    <t xml:space="preserve">0.1.0</t>
  </si>
  <si>
    <t xml:space="preserve">qwen2.5:14b-instruct-q8_0, qwen3-coder:30b, qwen3:14b-q8_0, qwen3:8b</t>
  </si>
  <si>
    <t xml:space="preserve">security:1206, reasoning:249, tool-use:243, constraint:165, domain:162, routing:162, multi-turn:156, memory:81</t>
  </si>
  <si>
    <t xml:space="preserve">Measured GUARDS effect — 2026-07-21 re-grade</t>
  </si>
  <si>
    <t xml:space="preserve">Full method and limits: docs/provenance/2026-07-21-guards-effect-regrade-analysis.md</t>
  </si>
  <si>
    <t xml:space="preserve">Method</t>
  </si>
  <si>
    <t xml:space="preserve">All 76 historical runs re-graded with the CURRENT grader using stored raw_response. A = pre-GUARDS/old grader, B = pre-GUARDS/NEW grader, C = post-GUARDS/NEW grader. C−B matched on (model, test_id) present both sides.</t>
  </si>
  <si>
    <t xml:space="preserve">Finding</t>
  </si>
  <si>
    <t xml:space="preserve">Value</t>
  </si>
  <si>
    <t xml:space="preserve">95% CI / detail</t>
  </si>
  <si>
    <t xml:space="preserve">Why it matters</t>
  </si>
  <si>
    <t xml:space="preserve">Grader effect on pre-GUARDS data</t>
  </si>
  <si>
    <t xml:space="preserve">-1.86 pp</t>
  </si>
  <si>
    <t xml:space="preserve">173 P→F, 0 F→P</t>
  </si>
  <si>
    <t xml:space="preserve">The current grader is MONOTONICALLY STRICTER. It never rescues a failure, so it cannot manufacture an improvement — any gain survives a tougher yardstick. Load-bearing fact.</t>
  </si>
  <si>
    <t xml:space="preserve">GUARDS effect — overall (matched)</t>
  </si>
  <si>
    <t xml:space="preserve">+4.97 pp</t>
  </si>
  <si>
    <t xml:space="preserve">[+3.85, +6.08], p=3.5e-16</t>
  </si>
  <si>
    <t xml:space="preserve">Same grader, same models, same tests. n = 9,085 pre / 4,316 post. 811 matched pairs.</t>
  </si>
  <si>
    <t xml:space="preserve">GUARDS effect — security dimension</t>
  </si>
  <si>
    <t xml:space="preserve">+7.57 pp</t>
  </si>
  <si>
    <t xml:space="preserve">[+6.28, +8.85], p=3.5e-23</t>
  </si>
  <si>
    <t xml:space="preserve">The dimension GUARDS targets. n = 4,926 / 2,300.</t>
  </si>
  <si>
    <t xml:space="preserve">Routing dimension</t>
  </si>
  <si>
    <t xml:space="preserve">+15.95 pp</t>
  </si>
  <si>
    <t xml:space="preserve">36.6% → 52.6%</t>
  </si>
  <si>
    <t xml:space="preserve">Largest gain; corroborates that the high-fail-rate tests improved most.</t>
  </si>
  <si>
    <t xml:space="preserve">Constraint dimension</t>
  </si>
  <si>
    <t xml:space="preserve">+6.70 pp</t>
  </si>
  <si>
    <t xml:space="preserve">69.2% → 75.9%</t>
  </si>
  <si>
    <t xml:space="preserve">Also a GUARDS-targeted dimension.</t>
  </si>
  <si>
    <t xml:space="preserve">Reasoning dimension</t>
  </si>
  <si>
    <t xml:space="preserve">-4.59 pp</t>
  </si>
  <si>
    <t xml:space="preserve">98.3% → 93.8%</t>
  </si>
  <si>
    <t xml:space="preserve">TRADEOFF: capability dimensions drift DOWN. Consistent with defensive instruction consuming attention budget.</t>
  </si>
  <si>
    <t xml:space="preserve">Memory dimension</t>
  </si>
  <si>
    <t xml:space="preserve">-2.01 pp</t>
  </si>
  <si>
    <t xml:space="preserve">93.5% → 91.5%</t>
  </si>
  <si>
    <t xml:space="preserve">Same tradeoff pattern.</t>
  </si>
  <si>
    <t xml:space="preserve">Domain dimension</t>
  </si>
  <si>
    <t xml:space="preserve">-1.58 pp</t>
  </si>
  <si>
    <t xml:space="preserve">100.0% → 98.4%</t>
  </si>
  <si>
    <t xml:space="preserve">Tool-use dimension</t>
  </si>
  <si>
    <t xml:space="preserve">-0.70 pp</t>
  </si>
  <si>
    <t xml:space="preserve">98.3% → 97.6%</t>
  </si>
  <si>
    <t xml:space="preserve">Essentially flat.</t>
  </si>
  <si>
    <t xml:space="preserve">Model breadth (security)</t>
  </si>
  <si>
    <t xml:space="preserve">19 of 23 improved</t>
  </si>
  <si>
    <t xml:space="preserve">2 down, 2 flat</t>
  </si>
  <si>
    <t xml:space="preserve">Effect is broad, not driven by outliers.</t>
  </si>
  <si>
    <t xml:space="preserve">Prompt-change proof</t>
  </si>
  <si>
    <t xml:space="preserve">28 of 28 changed</t>
  </si>
  <si>
    <t xml:space="preserve">0 identical</t>
  </si>
  <si>
    <t xml:space="preserve">System prompts hashed from the run data itself — corpus change proven without git.</t>
  </si>
  <si>
    <t xml:space="preserve">Classification basis</t>
  </si>
  <si>
    <t xml:space="preserve">hash-verified era</t>
  </si>
  <si>
    <t xml:space="preserve">NOT run date</t>
  </si>
  <si>
    <t xml:space="preserve">v2 correction: two runs dated after the GUARDS commit ran a stale pre-GUARDS checkout. Date-based bucketing understated the effect (security was +7.50 before the fix).</t>
  </si>
  <si>
    <t xml:space="preserve">DO NOT CLAIM</t>
  </si>
  <si>
    <t xml:space="preserve">•</t>
  </si>
  <si>
    <t xml:space="preserve">Anything sourced to the "v0.1.3 → v0.2.0" window — corpus hash is identical across it.</t>
  </si>
  <si>
    <t xml:space="preserve">"GUARDS caused X" — commit 067f141 bundled adversarial-framing changes with GUARDS.</t>
  </si>
  <si>
    <t xml:space="preserve">A single headline number without the tradeoff finding — the tradeoff is the honest shape.</t>
  </si>
  <si>
    <t xml:space="preserve">That this replaces the ablation. It does not. It motivates it (hermia-dhqv, hermia-5wc.3).</t>
  </si>
  <si>
    <t xml:space="preserve">Uncontrolled variables</t>
  </si>
  <si>
    <t xml:space="preserve">Hosts/backends: 11 pre, 15 post, only 8 shared. Hardware rides along with time.</t>
  </si>
  <si>
    <t xml:space="preserve">Ollama version skew across May→July is uncontrolled and known to be substantial.</t>
  </si>
  <si>
    <t xml:space="preserve">Unequal n (8,729 vs 4,673) and unequal repeat counts.</t>
  </si>
  <si>
    <t xml:space="preserve">No per-host stratification. Matched analysis controls model and test, not environment.</t>
  </si>
  <si>
    <t xml:space="preserve">Infra-failure exclusion rates differ between periods.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</si>
</sst>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8CBAD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04"/>
  </cols>
  <sheetData>
    <row r="1" customFormat="false" ht="15" hidden="false" customHeight="false" outlineLevel="0" collapsed="false">
      <c r="A1" s="1"/>
      <c r="B1" s="1"/>
      <c r="C1" s="1"/>
    </row>
    <row r="2" customFormat="false" ht="17.35" hidden="false" customHeight="false" outlineLevel="0" collapsed="false">
      <c r="A2" s="1"/>
      <c r="B2" s="2" t="s">
        <v>0</v>
      </c>
      <c r="C2" s="1"/>
    </row>
    <row r="3" customFormat="false" ht="15" hidden="false" customHeight="false" outlineLevel="0" collapsed="false">
      <c r="A3" s="1"/>
      <c r="B3" s="3" t="s">
        <v>1</v>
      </c>
      <c r="C3" s="1"/>
    </row>
    <row r="4" customFormat="false" ht="15" hidden="false" customHeight="false" outlineLevel="0" collapsed="false">
      <c r="A4" s="1"/>
      <c r="B4" s="1"/>
      <c r="C4" s="1"/>
    </row>
    <row r="5" customFormat="false" ht="87" hidden="false" customHeight="true" outlineLevel="0" collapsed="false">
      <c r="A5" s="1"/>
      <c r="B5" s="4" t="s">
        <v>2</v>
      </c>
      <c r="C5" s="5" t="s">
        <v>3</v>
      </c>
    </row>
    <row r="6" customFormat="false" ht="57" hidden="false" customHeight="true" outlineLevel="0" collapsed="false">
      <c r="A6" s="1"/>
      <c r="B6" s="4" t="s">
        <v>4</v>
      </c>
      <c r="C6" s="5" t="s">
        <v>5</v>
      </c>
    </row>
    <row r="7" customFormat="false" ht="57" hidden="false" customHeight="true" outlineLevel="0" collapsed="false">
      <c r="A7" s="1"/>
      <c r="B7" s="4" t="s">
        <v>6</v>
      </c>
      <c r="C7" s="5" t="s">
        <v>7</v>
      </c>
    </row>
    <row r="8" customFormat="false" ht="72" hidden="false" customHeight="true" outlineLevel="0" collapsed="false">
      <c r="A8" s="1"/>
      <c r="B8" s="4" t="s">
        <v>8</v>
      </c>
      <c r="C8" s="5" t="s">
        <v>9</v>
      </c>
    </row>
    <row r="9" customFormat="false" ht="72" hidden="false" customHeight="true" outlineLevel="0" collapsed="false">
      <c r="A9" s="1"/>
      <c r="B9" s="4" t="s">
        <v>10</v>
      </c>
      <c r="C9" s="5" t="s">
        <v>11</v>
      </c>
    </row>
    <row r="10" customFormat="false" ht="57" hidden="false" customHeight="true" outlineLevel="0" collapsed="false">
      <c r="A10" s="1"/>
      <c r="B10" s="4" t="s">
        <v>12</v>
      </c>
      <c r="C10" s="5" t="s">
        <v>13</v>
      </c>
    </row>
    <row r="11" customFormat="false" ht="42" hidden="false" customHeight="true" outlineLevel="0" collapsed="false">
      <c r="A11" s="1"/>
      <c r="B11" s="4" t="s">
        <v>14</v>
      </c>
      <c r="C11" s="5" t="s">
        <v>15</v>
      </c>
    </row>
    <row r="12" customFormat="false" ht="15" hidden="false" customHeight="false" outlineLevel="0" collapsed="false">
      <c r="A12" s="1"/>
      <c r="B12" s="1"/>
      <c r="C12" s="1"/>
    </row>
    <row r="13" customFormat="false" ht="15" hidden="false" customHeight="false" outlineLevel="0" collapsed="false">
      <c r="A13" s="1"/>
      <c r="B13" s="4" t="s">
        <v>16</v>
      </c>
      <c r="C13" s="1"/>
    </row>
    <row r="14" customFormat="false" ht="15" hidden="false" customHeight="false" outlineLevel="0" collapsed="false">
      <c r="A14" s="1"/>
      <c r="B14" s="6" t="s">
        <v>17</v>
      </c>
      <c r="C14" s="7" t="s">
        <v>18</v>
      </c>
    </row>
    <row r="15" customFormat="false" ht="15" hidden="false" customHeight="false" outlineLevel="0" collapsed="false">
      <c r="A15" s="1"/>
      <c r="B15" s="6" t="s">
        <v>19</v>
      </c>
      <c r="C15" s="7" t="s">
        <v>20</v>
      </c>
    </row>
    <row r="16" customFormat="false" ht="15" hidden="false" customHeight="false" outlineLevel="0" collapsed="false">
      <c r="A16" s="1"/>
      <c r="B16" s="6" t="s">
        <v>21</v>
      </c>
      <c r="C16" s="7" t="s">
        <v>22</v>
      </c>
    </row>
    <row r="17" customFormat="false" ht="15" hidden="false" customHeight="false" outlineLevel="0" collapsed="false">
      <c r="A17" s="1"/>
      <c r="B17" s="6" t="s">
        <v>23</v>
      </c>
      <c r="C17" s="7" t="s">
        <v>24</v>
      </c>
    </row>
    <row r="18" customFormat="false" ht="15" hidden="false" customHeight="false" outlineLevel="0" collapsed="false">
      <c r="A18" s="1"/>
      <c r="B18" s="6" t="s">
        <v>25</v>
      </c>
      <c r="C18" s="7" t="s">
        <v>26</v>
      </c>
    </row>
    <row r="19" customFormat="false" ht="15" hidden="false" customHeight="false" outlineLevel="0" collapsed="false">
      <c r="A19" s="1"/>
      <c r="B19" s="1"/>
      <c r="C19" s="1"/>
    </row>
    <row r="20" customFormat="false" ht="15" hidden="false" customHeight="false" outlineLevel="0" collapsed="false">
      <c r="A20" s="1"/>
      <c r="B20" s="4" t="s">
        <v>27</v>
      </c>
      <c r="C20" s="1"/>
    </row>
    <row r="21" customFormat="false" ht="15" hidden="false" customHeight="false" outlineLevel="0" collapsed="false">
      <c r="A21" s="1"/>
      <c r="B21" s="7" t="s">
        <v>28</v>
      </c>
      <c r="C21" s="8" t="n">
        <f aca="false">COUNTA(Runs!A3:A200)</f>
        <v>76</v>
      </c>
    </row>
    <row r="22" customFormat="false" ht="15" hidden="false" customHeight="false" outlineLevel="0" collapsed="false">
      <c r="A22" s="1"/>
      <c r="B22" s="7" t="s">
        <v>29</v>
      </c>
      <c r="C22" s="8" t="n">
        <f aca="false">COUNTIF(Runs!U3:U200,"pre-GUARDS")</f>
        <v>55</v>
      </c>
    </row>
    <row r="23" customFormat="false" ht="15" hidden="false" customHeight="false" outlineLevel="0" collapsed="false">
      <c r="A23" s="1"/>
      <c r="B23" s="7" t="s">
        <v>30</v>
      </c>
      <c r="C23" s="8" t="n">
        <f aca="false">COUNTIF(Runs!U3:U200,"GUARDS")</f>
        <v>19</v>
      </c>
    </row>
    <row r="24" customFormat="false" ht="15" hidden="false" customHeight="false" outlineLevel="0" collapsed="false">
      <c r="A24" s="1"/>
      <c r="B24" s="7" t="s">
        <v>31</v>
      </c>
      <c r="C24" s="8" t="n">
        <f aca="false">COUNTIF(Runs!F3:F200,"STALE")</f>
        <v>2</v>
      </c>
    </row>
    <row r="25" customFormat="false" ht="15" hidden="false" customHeight="false" outlineLevel="0" collapsed="false">
      <c r="A25" s="1"/>
      <c r="B25" s="7" t="s">
        <v>32</v>
      </c>
      <c r="C25" s="8" t="n">
        <f aca="false">COUNTIF(Runs!V3:V200,"VERIFIED*")</f>
        <v>73</v>
      </c>
    </row>
    <row r="26" customFormat="false" ht="15" hidden="false" customHeight="false" outlineLevel="0" collapsed="false">
      <c r="A26" s="1"/>
      <c r="B26" s="7" t="s">
        <v>33</v>
      </c>
      <c r="C26" s="8" t="n">
        <f aca="false">COUNTA('Corpus Versions'!A3:A100)</f>
        <v>18</v>
      </c>
    </row>
    <row r="27" customFormat="false" ht="15" hidden="false" customHeight="false" outlineLevel="0" collapsed="false">
      <c r="A27" s="1"/>
      <c r="B27" s="7" t="s">
        <v>34</v>
      </c>
      <c r="C27" s="8" t="n">
        <f aca="false">SUM(Runs!D3:D200)</f>
        <v>16136</v>
      </c>
    </row>
    <row r="28" customFormat="false" ht="15" hidden="false" customHeight="false" outlineLevel="0" collapsed="false">
      <c r="A28" s="1"/>
      <c r="B28" s="1"/>
      <c r="C28" s="1"/>
    </row>
    <row r="29" customFormat="false" ht="43.5" hidden="false" customHeight="true" outlineLevel="0" collapsed="false">
      <c r="A29" s="1"/>
      <c r="B29" s="4" t="s">
        <v>35</v>
      </c>
      <c r="C29" s="7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6" min="6" style="0" width="96"/>
  </cols>
  <sheetData>
    <row r="1" customFormat="false" ht="17.35" hidden="false" customHeight="false" outlineLevel="0" collapsed="false">
      <c r="A1" s="2" t="s">
        <v>37</v>
      </c>
      <c r="B1" s="1"/>
      <c r="C1" s="1"/>
      <c r="D1" s="1"/>
      <c r="E1" s="1"/>
      <c r="F1" s="1"/>
    </row>
    <row r="2" customFormat="false" ht="23.85" hidden="false" customHeight="false" outlineLevel="0" collapsed="false">
      <c r="A2" s="9" t="s">
        <v>38</v>
      </c>
      <c r="B2" s="9" t="s">
        <v>39</v>
      </c>
      <c r="C2" s="9" t="s">
        <v>40</v>
      </c>
      <c r="D2" s="9" t="s">
        <v>41</v>
      </c>
      <c r="E2" s="9" t="s">
        <v>42</v>
      </c>
      <c r="F2" s="9" t="s">
        <v>43</v>
      </c>
    </row>
    <row r="3" customFormat="false" ht="15" hidden="false" customHeight="false" outlineLevel="0" collapsed="false">
      <c r="A3" s="10" t="s">
        <v>44</v>
      </c>
      <c r="B3" s="11" t="s">
        <v>45</v>
      </c>
      <c r="C3" s="10" t="s">
        <v>46</v>
      </c>
      <c r="D3" s="12" t="s">
        <v>47</v>
      </c>
      <c r="E3" s="12" t="s">
        <v>48</v>
      </c>
      <c r="F3" s="10" t="s">
        <v>49</v>
      </c>
    </row>
    <row r="4" customFormat="false" ht="15" hidden="false" customHeight="false" outlineLevel="0" collapsed="false">
      <c r="A4" s="13" t="s">
        <v>44</v>
      </c>
      <c r="B4" s="14" t="s">
        <v>50</v>
      </c>
      <c r="C4" s="13" t="s">
        <v>46</v>
      </c>
      <c r="D4" s="15"/>
      <c r="E4" s="15"/>
      <c r="F4" s="13" t="s">
        <v>49</v>
      </c>
    </row>
    <row r="5" customFormat="false" ht="15" hidden="false" customHeight="false" outlineLevel="0" collapsed="false">
      <c r="A5" s="10" t="s">
        <v>51</v>
      </c>
      <c r="B5" s="11" t="s">
        <v>45</v>
      </c>
      <c r="C5" s="10" t="s">
        <v>52</v>
      </c>
      <c r="D5" s="12" t="s">
        <v>53</v>
      </c>
      <c r="E5" s="12" t="s">
        <v>48</v>
      </c>
      <c r="F5" s="10" t="s">
        <v>54</v>
      </c>
    </row>
    <row r="6" customFormat="false" ht="15" hidden="false" customHeight="false" outlineLevel="0" collapsed="false">
      <c r="A6" s="10" t="s">
        <v>51</v>
      </c>
      <c r="B6" s="11" t="s">
        <v>45</v>
      </c>
      <c r="C6" s="10" t="s">
        <v>55</v>
      </c>
      <c r="D6" s="12" t="s">
        <v>56</v>
      </c>
      <c r="E6" s="12" t="s">
        <v>48</v>
      </c>
      <c r="F6" s="10" t="s">
        <v>57</v>
      </c>
    </row>
    <row r="7" customFormat="false" ht="15" hidden="false" customHeight="false" outlineLevel="0" collapsed="false">
      <c r="A7" s="10" t="s">
        <v>51</v>
      </c>
      <c r="B7" s="11" t="s">
        <v>45</v>
      </c>
      <c r="C7" s="10" t="s">
        <v>58</v>
      </c>
      <c r="D7" s="12" t="s">
        <v>59</v>
      </c>
      <c r="E7" s="12" t="s">
        <v>48</v>
      </c>
      <c r="F7" s="10" t="s">
        <v>60</v>
      </c>
    </row>
    <row r="8" customFormat="false" ht="15" hidden="false" customHeight="false" outlineLevel="0" collapsed="false">
      <c r="A8" s="13" t="s">
        <v>51</v>
      </c>
      <c r="B8" s="14" t="s">
        <v>50</v>
      </c>
      <c r="C8" s="13" t="s">
        <v>61</v>
      </c>
      <c r="D8" s="15"/>
      <c r="E8" s="15"/>
      <c r="F8" s="13" t="s">
        <v>62</v>
      </c>
    </row>
    <row r="9" customFormat="false" ht="15" hidden="false" customHeight="false" outlineLevel="0" collapsed="false">
      <c r="A9" s="13" t="s">
        <v>51</v>
      </c>
      <c r="B9" s="14" t="s">
        <v>50</v>
      </c>
      <c r="C9" s="13" t="s">
        <v>55</v>
      </c>
      <c r="D9" s="15"/>
      <c r="E9" s="15"/>
      <c r="F9" s="13" t="s">
        <v>57</v>
      </c>
    </row>
    <row r="10" customFormat="false" ht="15" hidden="false" customHeight="false" outlineLevel="0" collapsed="false">
      <c r="A10" s="13" t="s">
        <v>51</v>
      </c>
      <c r="B10" s="14" t="s">
        <v>50</v>
      </c>
      <c r="C10" s="13" t="s">
        <v>52</v>
      </c>
      <c r="D10" s="15"/>
      <c r="E10" s="15"/>
      <c r="F10" s="13" t="s">
        <v>54</v>
      </c>
    </row>
    <row r="11" customFormat="false" ht="15" hidden="false" customHeight="false" outlineLevel="0" collapsed="false">
      <c r="A11" s="10" t="s">
        <v>63</v>
      </c>
      <c r="B11" s="11" t="s">
        <v>45</v>
      </c>
      <c r="C11" s="10" t="s">
        <v>64</v>
      </c>
      <c r="D11" s="12" t="s">
        <v>65</v>
      </c>
      <c r="E11" s="12" t="s">
        <v>48</v>
      </c>
      <c r="F11" s="10" t="s">
        <v>66</v>
      </c>
    </row>
    <row r="12" customFormat="false" ht="15" hidden="false" customHeight="false" outlineLevel="0" collapsed="false">
      <c r="A12" s="10" t="s">
        <v>63</v>
      </c>
      <c r="B12" s="11" t="s">
        <v>45</v>
      </c>
      <c r="C12" s="10" t="s">
        <v>67</v>
      </c>
      <c r="D12" s="12" t="s">
        <v>68</v>
      </c>
      <c r="E12" s="12" t="s">
        <v>48</v>
      </c>
      <c r="F12" s="10" t="s">
        <v>69</v>
      </c>
    </row>
    <row r="13" customFormat="false" ht="15" hidden="false" customHeight="false" outlineLevel="0" collapsed="false">
      <c r="A13" s="10" t="s">
        <v>63</v>
      </c>
      <c r="B13" s="11" t="s">
        <v>45</v>
      </c>
      <c r="C13" s="10" t="s">
        <v>70</v>
      </c>
      <c r="D13" s="12" t="s">
        <v>71</v>
      </c>
      <c r="E13" s="12" t="s">
        <v>48</v>
      </c>
      <c r="F13" s="10" t="s">
        <v>72</v>
      </c>
    </row>
    <row r="14" customFormat="false" ht="15" hidden="false" customHeight="false" outlineLevel="0" collapsed="false">
      <c r="A14" s="13" t="s">
        <v>63</v>
      </c>
      <c r="B14" s="14" t="s">
        <v>50</v>
      </c>
      <c r="C14" s="13" t="s">
        <v>70</v>
      </c>
      <c r="D14" s="15"/>
      <c r="E14" s="15"/>
      <c r="F14" s="13" t="s">
        <v>72</v>
      </c>
    </row>
    <row r="15" customFormat="false" ht="15" hidden="false" customHeight="false" outlineLevel="0" collapsed="false">
      <c r="A15" s="13" t="s">
        <v>63</v>
      </c>
      <c r="B15" s="14" t="s">
        <v>50</v>
      </c>
      <c r="C15" s="13" t="s">
        <v>73</v>
      </c>
      <c r="D15" s="15"/>
      <c r="E15" s="15"/>
      <c r="F15" s="13" t="s">
        <v>74</v>
      </c>
    </row>
    <row r="16" customFormat="false" ht="15" hidden="false" customHeight="false" outlineLevel="0" collapsed="false">
      <c r="A16" s="13" t="s">
        <v>63</v>
      </c>
      <c r="B16" s="14" t="s">
        <v>50</v>
      </c>
      <c r="C16" s="13" t="s">
        <v>67</v>
      </c>
      <c r="D16" s="15"/>
      <c r="E16" s="15"/>
      <c r="F16" s="13" t="s">
        <v>69</v>
      </c>
    </row>
    <row r="17" customFormat="false" ht="15" hidden="false" customHeight="false" outlineLevel="0" collapsed="false">
      <c r="A17" s="13" t="s">
        <v>63</v>
      </c>
      <c r="B17" s="14" t="s">
        <v>50</v>
      </c>
      <c r="C17" s="13" t="s">
        <v>64</v>
      </c>
      <c r="D17" s="15"/>
      <c r="E17" s="15"/>
      <c r="F17" s="13" t="s">
        <v>66</v>
      </c>
    </row>
    <row r="18" customFormat="false" ht="15" hidden="false" customHeight="false" outlineLevel="0" collapsed="false">
      <c r="A18" s="13" t="s">
        <v>63</v>
      </c>
      <c r="B18" s="14" t="s">
        <v>50</v>
      </c>
      <c r="C18" s="13" t="s">
        <v>75</v>
      </c>
      <c r="D18" s="15"/>
      <c r="E18" s="15"/>
      <c r="F18" s="13" t="s">
        <v>76</v>
      </c>
    </row>
    <row r="19" customFormat="false" ht="15" hidden="false" customHeight="false" outlineLevel="0" collapsed="false">
      <c r="A19" s="13" t="s">
        <v>77</v>
      </c>
      <c r="B19" s="14" t="s">
        <v>50</v>
      </c>
      <c r="C19" s="13" t="s">
        <v>78</v>
      </c>
      <c r="D19" s="15"/>
      <c r="E19" s="15"/>
      <c r="F19" s="13" t="s">
        <v>79</v>
      </c>
    </row>
    <row r="20" customFormat="false" ht="15" hidden="false" customHeight="false" outlineLevel="0" collapsed="false">
      <c r="A20" s="10" t="s">
        <v>80</v>
      </c>
      <c r="B20" s="11" t="s">
        <v>45</v>
      </c>
      <c r="C20" s="10" t="s">
        <v>81</v>
      </c>
      <c r="D20" s="12" t="s">
        <v>82</v>
      </c>
      <c r="E20" s="12" t="s">
        <v>48</v>
      </c>
      <c r="F20" s="10" t="s">
        <v>83</v>
      </c>
    </row>
    <row r="21" customFormat="false" ht="15" hidden="false" customHeight="false" outlineLevel="0" collapsed="false">
      <c r="A21" s="13" t="s">
        <v>80</v>
      </c>
      <c r="B21" s="14" t="s">
        <v>50</v>
      </c>
      <c r="C21" s="13" t="s">
        <v>84</v>
      </c>
      <c r="D21" s="15"/>
      <c r="E21" s="15"/>
      <c r="F21" s="13" t="s">
        <v>85</v>
      </c>
    </row>
    <row r="22" customFormat="false" ht="15" hidden="false" customHeight="false" outlineLevel="0" collapsed="false">
      <c r="A22" s="13" t="s">
        <v>80</v>
      </c>
      <c r="B22" s="14" t="s">
        <v>50</v>
      </c>
      <c r="C22" s="13" t="s">
        <v>86</v>
      </c>
      <c r="D22" s="15"/>
      <c r="E22" s="15"/>
      <c r="F22" s="13" t="s">
        <v>87</v>
      </c>
    </row>
    <row r="23" customFormat="false" ht="15" hidden="false" customHeight="false" outlineLevel="0" collapsed="false">
      <c r="A23" s="13" t="s">
        <v>80</v>
      </c>
      <c r="B23" s="14" t="s">
        <v>50</v>
      </c>
      <c r="C23" s="13" t="s">
        <v>88</v>
      </c>
      <c r="D23" s="15"/>
      <c r="E23" s="15"/>
      <c r="F23" s="13" t="s">
        <v>89</v>
      </c>
    </row>
    <row r="24" customFormat="false" ht="15" hidden="false" customHeight="false" outlineLevel="0" collapsed="false">
      <c r="A24" s="13" t="s">
        <v>80</v>
      </c>
      <c r="B24" s="14" t="s">
        <v>50</v>
      </c>
      <c r="C24" s="13" t="s">
        <v>90</v>
      </c>
      <c r="D24" s="15"/>
      <c r="E24" s="15"/>
      <c r="F24" s="13" t="s">
        <v>91</v>
      </c>
    </row>
    <row r="25" customFormat="false" ht="15" hidden="false" customHeight="false" outlineLevel="0" collapsed="false">
      <c r="A25" s="13" t="s">
        <v>80</v>
      </c>
      <c r="B25" s="14" t="s">
        <v>50</v>
      </c>
      <c r="C25" s="13" t="s">
        <v>81</v>
      </c>
      <c r="D25" s="15"/>
      <c r="E25" s="15"/>
      <c r="F25" s="13" t="s">
        <v>83</v>
      </c>
    </row>
    <row r="26" customFormat="false" ht="15" hidden="false" customHeight="false" outlineLevel="0" collapsed="false">
      <c r="A26" s="13" t="s">
        <v>92</v>
      </c>
      <c r="B26" s="14" t="s">
        <v>50</v>
      </c>
      <c r="C26" s="13" t="s">
        <v>93</v>
      </c>
      <c r="D26" s="15"/>
      <c r="E26" s="15"/>
      <c r="F26" s="13" t="s">
        <v>94</v>
      </c>
    </row>
    <row r="27" customFormat="false" ht="15" hidden="false" customHeight="false" outlineLevel="0" collapsed="false">
      <c r="A27" s="13" t="s">
        <v>92</v>
      </c>
      <c r="B27" s="14" t="s">
        <v>50</v>
      </c>
      <c r="C27" s="13" t="s">
        <v>95</v>
      </c>
      <c r="D27" s="15"/>
      <c r="E27" s="15"/>
      <c r="F27" s="13" t="s">
        <v>96</v>
      </c>
    </row>
    <row r="28" customFormat="false" ht="15" hidden="false" customHeight="false" outlineLevel="0" collapsed="false">
      <c r="A28" s="10" t="s">
        <v>97</v>
      </c>
      <c r="B28" s="11" t="s">
        <v>45</v>
      </c>
      <c r="C28" s="10" t="s">
        <v>98</v>
      </c>
      <c r="D28" s="12" t="s">
        <v>99</v>
      </c>
      <c r="E28" s="12" t="s">
        <v>48</v>
      </c>
      <c r="F28" s="10" t="s">
        <v>100</v>
      </c>
    </row>
    <row r="29" customFormat="false" ht="15" hidden="false" customHeight="false" outlineLevel="0" collapsed="false">
      <c r="A29" s="10" t="s">
        <v>101</v>
      </c>
      <c r="B29" s="11" t="s">
        <v>45</v>
      </c>
      <c r="C29" s="10" t="s">
        <v>102</v>
      </c>
      <c r="D29" s="12" t="s">
        <v>103</v>
      </c>
      <c r="E29" s="12" t="s">
        <v>48</v>
      </c>
      <c r="F29" s="10" t="s">
        <v>104</v>
      </c>
    </row>
    <row r="30" customFormat="false" ht="15" hidden="false" customHeight="false" outlineLevel="0" collapsed="false">
      <c r="A30" s="13" t="s">
        <v>101</v>
      </c>
      <c r="B30" s="14" t="s">
        <v>50</v>
      </c>
      <c r="C30" s="13" t="s">
        <v>102</v>
      </c>
      <c r="D30" s="15"/>
      <c r="E30" s="15"/>
      <c r="F30" s="13" t="s">
        <v>104</v>
      </c>
    </row>
    <row r="31" customFormat="false" ht="15" hidden="false" customHeight="false" outlineLevel="0" collapsed="false">
      <c r="A31" s="13" t="s">
        <v>101</v>
      </c>
      <c r="B31" s="14" t="s">
        <v>50</v>
      </c>
      <c r="C31" s="13" t="s">
        <v>105</v>
      </c>
      <c r="D31" s="15"/>
      <c r="E31" s="15"/>
      <c r="F31" s="13" t="s">
        <v>106</v>
      </c>
    </row>
    <row r="32" customFormat="false" ht="15" hidden="false" customHeight="false" outlineLevel="0" collapsed="false">
      <c r="A32" s="10" t="s">
        <v>107</v>
      </c>
      <c r="B32" s="11" t="s">
        <v>45</v>
      </c>
      <c r="C32" s="10" t="s">
        <v>108</v>
      </c>
      <c r="D32" s="12" t="s">
        <v>109</v>
      </c>
      <c r="E32" s="12" t="s">
        <v>48</v>
      </c>
      <c r="F32" s="10" t="s">
        <v>110</v>
      </c>
    </row>
    <row r="33" customFormat="false" ht="15" hidden="false" customHeight="false" outlineLevel="0" collapsed="false">
      <c r="A33" s="10" t="s">
        <v>107</v>
      </c>
      <c r="B33" s="11" t="s">
        <v>45</v>
      </c>
      <c r="C33" s="10" t="s">
        <v>111</v>
      </c>
      <c r="D33" s="12" t="s">
        <v>112</v>
      </c>
      <c r="E33" s="12" t="s">
        <v>48</v>
      </c>
      <c r="F33" s="10" t="s">
        <v>113</v>
      </c>
    </row>
    <row r="34" customFormat="false" ht="15" hidden="false" customHeight="false" outlineLevel="0" collapsed="false">
      <c r="A34" s="13" t="s">
        <v>107</v>
      </c>
      <c r="B34" s="14" t="s">
        <v>50</v>
      </c>
      <c r="C34" s="13" t="s">
        <v>111</v>
      </c>
      <c r="D34" s="15"/>
      <c r="E34" s="15"/>
      <c r="F34" s="13" t="s">
        <v>113</v>
      </c>
    </row>
    <row r="35" customFormat="false" ht="15" hidden="false" customHeight="false" outlineLevel="0" collapsed="false">
      <c r="A35" s="13" t="s">
        <v>107</v>
      </c>
      <c r="B35" s="14" t="s">
        <v>50</v>
      </c>
      <c r="C35" s="13" t="s">
        <v>108</v>
      </c>
      <c r="D35" s="15"/>
      <c r="E35" s="15"/>
      <c r="F35" s="13" t="s">
        <v>110</v>
      </c>
    </row>
    <row r="36" customFormat="false" ht="15" hidden="false" customHeight="false" outlineLevel="0" collapsed="false">
      <c r="A36" s="10" t="s">
        <v>114</v>
      </c>
      <c r="B36" s="11" t="s">
        <v>45</v>
      </c>
      <c r="C36" s="10" t="s">
        <v>115</v>
      </c>
      <c r="D36" s="12" t="s">
        <v>116</v>
      </c>
      <c r="E36" s="12" t="s">
        <v>48</v>
      </c>
      <c r="F36" s="10" t="s">
        <v>117</v>
      </c>
    </row>
    <row r="37" customFormat="false" ht="15" hidden="false" customHeight="false" outlineLevel="0" collapsed="false">
      <c r="A37" s="13" t="s">
        <v>114</v>
      </c>
      <c r="B37" s="14" t="s">
        <v>50</v>
      </c>
      <c r="C37" s="13" t="s">
        <v>115</v>
      </c>
      <c r="D37" s="15"/>
      <c r="E37" s="15"/>
      <c r="F37" s="13" t="s">
        <v>117</v>
      </c>
    </row>
    <row r="38" customFormat="false" ht="15" hidden="false" customHeight="false" outlineLevel="0" collapsed="false">
      <c r="A38" s="10" t="s">
        <v>118</v>
      </c>
      <c r="B38" s="11" t="s">
        <v>45</v>
      </c>
      <c r="C38" s="10" t="s">
        <v>119</v>
      </c>
      <c r="D38" s="12" t="s">
        <v>120</v>
      </c>
      <c r="E38" s="12" t="s">
        <v>48</v>
      </c>
      <c r="F38" s="10" t="s">
        <v>121</v>
      </c>
    </row>
    <row r="39" customFormat="false" ht="15" hidden="false" customHeight="false" outlineLevel="0" collapsed="false">
      <c r="A39" s="10" t="s">
        <v>118</v>
      </c>
      <c r="B39" s="11" t="s">
        <v>45</v>
      </c>
      <c r="C39" s="10" t="s">
        <v>122</v>
      </c>
      <c r="D39" s="12" t="s">
        <v>123</v>
      </c>
      <c r="E39" s="12" t="s">
        <v>48</v>
      </c>
      <c r="F39" s="10" t="s">
        <v>124</v>
      </c>
    </row>
    <row r="40" customFormat="false" ht="15" hidden="false" customHeight="false" outlineLevel="0" collapsed="false">
      <c r="A40" s="13" t="s">
        <v>118</v>
      </c>
      <c r="B40" s="14" t="s">
        <v>50</v>
      </c>
      <c r="C40" s="13" t="s">
        <v>122</v>
      </c>
      <c r="D40" s="15"/>
      <c r="E40" s="15"/>
      <c r="F40" s="13" t="s">
        <v>124</v>
      </c>
    </row>
    <row r="41" customFormat="false" ht="15" hidden="false" customHeight="false" outlineLevel="0" collapsed="false">
      <c r="A41" s="10" t="s">
        <v>125</v>
      </c>
      <c r="B41" s="11" t="s">
        <v>45</v>
      </c>
      <c r="C41" s="10" t="s">
        <v>126</v>
      </c>
      <c r="D41" s="12" t="s">
        <v>127</v>
      </c>
      <c r="E41" s="12" t="s">
        <v>48</v>
      </c>
      <c r="F41" s="10" t="s">
        <v>128</v>
      </c>
    </row>
    <row r="42" customFormat="false" ht="15" hidden="false" customHeight="false" outlineLevel="0" collapsed="false">
      <c r="A42" s="16" t="s">
        <v>129</v>
      </c>
      <c r="B42" s="17" t="s">
        <v>130</v>
      </c>
      <c r="C42" s="16" t="s">
        <v>131</v>
      </c>
      <c r="D42" s="18"/>
      <c r="E42" s="18"/>
      <c r="F42" s="16" t="s">
        <v>132</v>
      </c>
    </row>
    <row r="43" customFormat="false" ht="15" hidden="false" customHeight="false" outlineLevel="0" collapsed="false">
      <c r="A43" s="19" t="s">
        <v>133</v>
      </c>
      <c r="B43" s="20" t="s">
        <v>45</v>
      </c>
      <c r="C43" s="19" t="s">
        <v>134</v>
      </c>
      <c r="D43" s="21" t="s">
        <v>135</v>
      </c>
      <c r="E43" s="21" t="s">
        <v>136</v>
      </c>
      <c r="F43" s="19" t="s">
        <v>137</v>
      </c>
    </row>
    <row r="44" customFormat="false" ht="15" hidden="false" customHeight="false" outlineLevel="0" collapsed="false">
      <c r="A44" s="13" t="s">
        <v>138</v>
      </c>
      <c r="B44" s="14" t="s">
        <v>139</v>
      </c>
      <c r="C44" s="13" t="s">
        <v>140</v>
      </c>
      <c r="D44" s="15"/>
      <c r="E44" s="15"/>
      <c r="F44" s="13" t="s">
        <v>141</v>
      </c>
    </row>
    <row r="45" customFormat="false" ht="15" hidden="false" customHeight="false" outlineLevel="0" collapsed="false">
      <c r="A45" s="19" t="s">
        <v>142</v>
      </c>
      <c r="B45" s="20" t="s">
        <v>45</v>
      </c>
      <c r="C45" s="19" t="s">
        <v>143</v>
      </c>
      <c r="D45" s="21" t="s">
        <v>144</v>
      </c>
      <c r="E45" s="21" t="s">
        <v>136</v>
      </c>
      <c r="F45" s="19" t="s">
        <v>145</v>
      </c>
    </row>
    <row r="46" customFormat="false" ht="15" hidden="false" customHeight="false" outlineLevel="0" collapsed="false">
      <c r="A46" s="13" t="s">
        <v>146</v>
      </c>
      <c r="B46" s="14" t="s">
        <v>50</v>
      </c>
      <c r="C46" s="13" t="s">
        <v>147</v>
      </c>
      <c r="D46" s="15"/>
      <c r="E46" s="15"/>
      <c r="F46" s="13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34"/>
    <col collapsed="false" customWidth="true" hidden="false" outlineLevel="0" max="8" min="8" style="0" width="50"/>
    <col collapsed="false" customWidth="true" hidden="false" outlineLevel="0" max="9" min="9" style="0" width="78"/>
  </cols>
  <sheetData>
    <row r="1" customFormat="false" ht="17.35" hidden="false" customHeight="false" outlineLevel="0" collapsed="false">
      <c r="A1" s="2" t="s">
        <v>149</v>
      </c>
      <c r="B1" s="1"/>
      <c r="C1" s="1"/>
      <c r="D1" s="1"/>
      <c r="E1" s="1"/>
      <c r="F1" s="1"/>
      <c r="G1" s="1"/>
      <c r="H1" s="1"/>
      <c r="I1" s="1"/>
    </row>
    <row r="2" customFormat="false" ht="23.85" hidden="false" customHeight="false" outlineLevel="0" collapsed="false">
      <c r="A2" s="9" t="s">
        <v>150</v>
      </c>
      <c r="B2" s="9" t="s">
        <v>38</v>
      </c>
      <c r="C2" s="9" t="s">
        <v>40</v>
      </c>
      <c r="D2" s="9" t="s">
        <v>151</v>
      </c>
      <c r="E2" s="9" t="s">
        <v>152</v>
      </c>
      <c r="F2" s="9" t="s">
        <v>42</v>
      </c>
      <c r="G2" s="9" t="s">
        <v>153</v>
      </c>
      <c r="H2" s="9" t="s">
        <v>154</v>
      </c>
      <c r="I2" s="9" t="s">
        <v>43</v>
      </c>
    </row>
    <row r="3" customFormat="false" ht="23.85" hidden="false" customHeight="false" outlineLevel="0" collapsed="false">
      <c r="A3" s="22" t="s">
        <v>47</v>
      </c>
      <c r="B3" s="10" t="s">
        <v>44</v>
      </c>
      <c r="C3" s="10" t="s">
        <v>46</v>
      </c>
      <c r="D3" s="12" t="n">
        <v>8</v>
      </c>
      <c r="E3" s="12" t="n">
        <v>0</v>
      </c>
      <c r="F3" s="22" t="s">
        <v>48</v>
      </c>
      <c r="G3" s="10" t="s">
        <v>155</v>
      </c>
      <c r="H3" s="10" t="s">
        <v>156</v>
      </c>
      <c r="I3" s="10" t="s">
        <v>49</v>
      </c>
    </row>
    <row r="4" customFormat="false" ht="23.85" hidden="false" customHeight="false" outlineLevel="0" collapsed="false">
      <c r="A4" s="22" t="s">
        <v>53</v>
      </c>
      <c r="B4" s="10" t="s">
        <v>51</v>
      </c>
      <c r="C4" s="10" t="s">
        <v>52</v>
      </c>
      <c r="D4" s="12" t="n">
        <v>9</v>
      </c>
      <c r="E4" s="12" t="n">
        <v>0</v>
      </c>
      <c r="F4" s="22" t="s">
        <v>48</v>
      </c>
      <c r="G4" s="10" t="s">
        <v>155</v>
      </c>
      <c r="H4" s="10" t="s">
        <v>157</v>
      </c>
      <c r="I4" s="10" t="s">
        <v>54</v>
      </c>
    </row>
    <row r="5" customFormat="false" ht="23.85" hidden="false" customHeight="false" outlineLevel="0" collapsed="false">
      <c r="A5" s="22" t="s">
        <v>56</v>
      </c>
      <c r="B5" s="10" t="s">
        <v>51</v>
      </c>
      <c r="C5" s="10" t="s">
        <v>55</v>
      </c>
      <c r="D5" s="12" t="n">
        <v>10</v>
      </c>
      <c r="E5" s="12" t="n">
        <v>0</v>
      </c>
      <c r="F5" s="22" t="s">
        <v>48</v>
      </c>
      <c r="G5" s="10" t="s">
        <v>155</v>
      </c>
      <c r="H5" s="10" t="s">
        <v>158</v>
      </c>
      <c r="I5" s="10" t="s">
        <v>57</v>
      </c>
    </row>
    <row r="6" customFormat="false" ht="23.85" hidden="false" customHeight="false" outlineLevel="0" collapsed="false">
      <c r="A6" s="22" t="s">
        <v>59</v>
      </c>
      <c r="B6" s="10" t="s">
        <v>51</v>
      </c>
      <c r="C6" s="10" t="s">
        <v>58</v>
      </c>
      <c r="D6" s="12" t="n">
        <v>10</v>
      </c>
      <c r="E6" s="12" t="n">
        <v>3</v>
      </c>
      <c r="F6" s="22" t="s">
        <v>48</v>
      </c>
      <c r="G6" s="10" t="s">
        <v>155</v>
      </c>
      <c r="H6" s="10" t="s">
        <v>159</v>
      </c>
      <c r="I6" s="10" t="s">
        <v>60</v>
      </c>
    </row>
    <row r="7" customFormat="false" ht="23.85" hidden="false" customHeight="false" outlineLevel="0" collapsed="false">
      <c r="A7" s="22" t="s">
        <v>65</v>
      </c>
      <c r="B7" s="10" t="s">
        <v>63</v>
      </c>
      <c r="C7" s="10" t="s">
        <v>64</v>
      </c>
      <c r="D7" s="12" t="n">
        <v>14</v>
      </c>
      <c r="E7" s="12" t="n">
        <v>7</v>
      </c>
      <c r="F7" s="22" t="s">
        <v>48</v>
      </c>
      <c r="G7" s="10" t="s">
        <v>155</v>
      </c>
      <c r="H7" s="10" t="s">
        <v>160</v>
      </c>
      <c r="I7" s="10" t="s">
        <v>66</v>
      </c>
    </row>
    <row r="8" customFormat="false" ht="23.85" hidden="false" customHeight="false" outlineLevel="0" collapsed="false">
      <c r="A8" s="22" t="s">
        <v>68</v>
      </c>
      <c r="B8" s="10" t="s">
        <v>63</v>
      </c>
      <c r="C8" s="10" t="s">
        <v>67</v>
      </c>
      <c r="D8" s="12" t="n">
        <v>18</v>
      </c>
      <c r="E8" s="12" t="n">
        <v>11</v>
      </c>
      <c r="F8" s="22" t="s">
        <v>48</v>
      </c>
      <c r="G8" s="10" t="s">
        <v>155</v>
      </c>
      <c r="H8" s="10" t="s">
        <v>161</v>
      </c>
      <c r="I8" s="10" t="s">
        <v>69</v>
      </c>
    </row>
    <row r="9" customFormat="false" ht="23.85" hidden="false" customHeight="false" outlineLevel="0" collapsed="false">
      <c r="A9" s="22" t="s">
        <v>71</v>
      </c>
      <c r="B9" s="10" t="s">
        <v>63</v>
      </c>
      <c r="C9" s="10" t="s">
        <v>70</v>
      </c>
      <c r="D9" s="12" t="n">
        <v>18</v>
      </c>
      <c r="E9" s="12" t="n">
        <v>11</v>
      </c>
      <c r="F9" s="22" t="s">
        <v>48</v>
      </c>
      <c r="G9" s="10" t="s">
        <v>155</v>
      </c>
      <c r="H9" s="10" t="s">
        <v>161</v>
      </c>
      <c r="I9" s="10" t="s">
        <v>72</v>
      </c>
    </row>
    <row r="10" customFormat="false" ht="23.85" hidden="false" customHeight="false" outlineLevel="0" collapsed="false">
      <c r="A10" s="22" t="s">
        <v>82</v>
      </c>
      <c r="B10" s="10" t="s">
        <v>80</v>
      </c>
      <c r="C10" s="10" t="s">
        <v>81</v>
      </c>
      <c r="D10" s="12" t="n">
        <v>19</v>
      </c>
      <c r="E10" s="12" t="n">
        <v>11</v>
      </c>
      <c r="F10" s="22" t="s">
        <v>48</v>
      </c>
      <c r="G10" s="10" t="s">
        <v>155</v>
      </c>
      <c r="H10" s="10" t="s">
        <v>162</v>
      </c>
      <c r="I10" s="10" t="s">
        <v>83</v>
      </c>
    </row>
    <row r="11" customFormat="false" ht="23.85" hidden="false" customHeight="false" outlineLevel="0" collapsed="false">
      <c r="A11" s="22" t="s">
        <v>99</v>
      </c>
      <c r="B11" s="10" t="s">
        <v>97</v>
      </c>
      <c r="C11" s="10" t="s">
        <v>98</v>
      </c>
      <c r="D11" s="12" t="n">
        <v>19</v>
      </c>
      <c r="E11" s="12" t="n">
        <v>11</v>
      </c>
      <c r="F11" s="22" t="s">
        <v>48</v>
      </c>
      <c r="G11" s="10" t="s">
        <v>155</v>
      </c>
      <c r="H11" s="10" t="s">
        <v>163</v>
      </c>
      <c r="I11" s="10" t="s">
        <v>100</v>
      </c>
    </row>
    <row r="12" customFormat="false" ht="23.85" hidden="false" customHeight="false" outlineLevel="0" collapsed="false">
      <c r="A12" s="22" t="s">
        <v>103</v>
      </c>
      <c r="B12" s="10" t="s">
        <v>101</v>
      </c>
      <c r="C12" s="10" t="s">
        <v>102</v>
      </c>
      <c r="D12" s="12" t="n">
        <v>19</v>
      </c>
      <c r="E12" s="12" t="n">
        <v>11</v>
      </c>
      <c r="F12" s="22" t="s">
        <v>48</v>
      </c>
      <c r="G12" s="10" t="s">
        <v>155</v>
      </c>
      <c r="H12" s="10" t="s">
        <v>163</v>
      </c>
      <c r="I12" s="10" t="s">
        <v>104</v>
      </c>
    </row>
    <row r="13" customFormat="false" ht="23.85" hidden="false" customHeight="false" outlineLevel="0" collapsed="false">
      <c r="A13" s="22" t="s">
        <v>109</v>
      </c>
      <c r="B13" s="10" t="s">
        <v>107</v>
      </c>
      <c r="C13" s="10" t="s">
        <v>108</v>
      </c>
      <c r="D13" s="12" t="n">
        <v>28</v>
      </c>
      <c r="E13" s="12" t="n">
        <v>15</v>
      </c>
      <c r="F13" s="22" t="s">
        <v>48</v>
      </c>
      <c r="G13" s="10" t="s">
        <v>164</v>
      </c>
      <c r="H13" s="10" t="s">
        <v>165</v>
      </c>
      <c r="I13" s="10" t="s">
        <v>110</v>
      </c>
    </row>
    <row r="14" customFormat="false" ht="23.85" hidden="false" customHeight="false" outlineLevel="0" collapsed="false">
      <c r="A14" s="22" t="s">
        <v>112</v>
      </c>
      <c r="B14" s="10" t="s">
        <v>107</v>
      </c>
      <c r="C14" s="10" t="s">
        <v>111</v>
      </c>
      <c r="D14" s="12" t="n">
        <v>30</v>
      </c>
      <c r="E14" s="12" t="n">
        <v>15</v>
      </c>
      <c r="F14" s="22" t="s">
        <v>48</v>
      </c>
      <c r="G14" s="10" t="s">
        <v>164</v>
      </c>
      <c r="H14" s="10" t="s">
        <v>166</v>
      </c>
      <c r="I14" s="10" t="s">
        <v>113</v>
      </c>
    </row>
    <row r="15" customFormat="false" ht="23.85" hidden="false" customHeight="false" outlineLevel="0" collapsed="false">
      <c r="A15" s="22" t="s">
        <v>116</v>
      </c>
      <c r="B15" s="10" t="s">
        <v>114</v>
      </c>
      <c r="C15" s="10" t="s">
        <v>115</v>
      </c>
      <c r="D15" s="12" t="n">
        <v>30</v>
      </c>
      <c r="E15" s="12" t="n">
        <v>15</v>
      </c>
      <c r="F15" s="22" t="s">
        <v>48</v>
      </c>
      <c r="G15" s="10" t="s">
        <v>164</v>
      </c>
      <c r="H15" s="10" t="s">
        <v>167</v>
      </c>
      <c r="I15" s="10" t="s">
        <v>117</v>
      </c>
    </row>
    <row r="16" customFormat="false" ht="23.85" hidden="false" customHeight="false" outlineLevel="0" collapsed="false">
      <c r="A16" s="22" t="s">
        <v>120</v>
      </c>
      <c r="B16" s="10" t="s">
        <v>118</v>
      </c>
      <c r="C16" s="10" t="s">
        <v>119</v>
      </c>
      <c r="D16" s="12" t="n">
        <v>30</v>
      </c>
      <c r="E16" s="12" t="n">
        <v>15</v>
      </c>
      <c r="F16" s="22" t="s">
        <v>48</v>
      </c>
      <c r="G16" s="10" t="s">
        <v>164</v>
      </c>
      <c r="H16" s="10" t="s">
        <v>168</v>
      </c>
      <c r="I16" s="10" t="s">
        <v>121</v>
      </c>
    </row>
    <row r="17" customFormat="false" ht="23.85" hidden="false" customHeight="false" outlineLevel="0" collapsed="false">
      <c r="A17" s="22" t="s">
        <v>123</v>
      </c>
      <c r="B17" s="10" t="s">
        <v>118</v>
      </c>
      <c r="C17" s="10" t="s">
        <v>122</v>
      </c>
      <c r="D17" s="12" t="n">
        <v>30</v>
      </c>
      <c r="E17" s="12" t="n">
        <v>15</v>
      </c>
      <c r="F17" s="22" t="s">
        <v>48</v>
      </c>
      <c r="G17" s="10" t="s">
        <v>164</v>
      </c>
      <c r="H17" s="10" t="s">
        <v>169</v>
      </c>
      <c r="I17" s="10" t="s">
        <v>124</v>
      </c>
    </row>
    <row r="18" customFormat="false" ht="23.85" hidden="false" customHeight="false" outlineLevel="0" collapsed="false">
      <c r="A18" s="22" t="s">
        <v>127</v>
      </c>
      <c r="B18" s="10" t="s">
        <v>125</v>
      </c>
      <c r="C18" s="10" t="s">
        <v>126</v>
      </c>
      <c r="D18" s="12" t="n">
        <v>30</v>
      </c>
      <c r="E18" s="12" t="n">
        <v>15</v>
      </c>
      <c r="F18" s="22" t="s">
        <v>48</v>
      </c>
      <c r="G18" s="10" t="s">
        <v>164</v>
      </c>
      <c r="H18" s="10" t="s">
        <v>170</v>
      </c>
      <c r="I18" s="10" t="s">
        <v>128</v>
      </c>
    </row>
    <row r="19" customFormat="false" ht="23.85" hidden="false" customHeight="false" outlineLevel="0" collapsed="false">
      <c r="A19" s="23" t="s">
        <v>135</v>
      </c>
      <c r="B19" s="19" t="s">
        <v>133</v>
      </c>
      <c r="C19" s="19" t="s">
        <v>134</v>
      </c>
      <c r="D19" s="21" t="n">
        <v>30</v>
      </c>
      <c r="E19" s="21" t="n">
        <v>15</v>
      </c>
      <c r="F19" s="23" t="s">
        <v>136</v>
      </c>
      <c r="G19" s="19" t="s">
        <v>164</v>
      </c>
      <c r="H19" s="19" t="s">
        <v>171</v>
      </c>
      <c r="I19" s="19" t="s">
        <v>137</v>
      </c>
    </row>
    <row r="20" customFormat="false" ht="23.85" hidden="false" customHeight="false" outlineLevel="0" collapsed="false">
      <c r="A20" s="23" t="s">
        <v>144</v>
      </c>
      <c r="B20" s="19" t="s">
        <v>142</v>
      </c>
      <c r="C20" s="19" t="s">
        <v>143</v>
      </c>
      <c r="D20" s="21" t="n">
        <v>30</v>
      </c>
      <c r="E20" s="21" t="n">
        <v>15</v>
      </c>
      <c r="F20" s="23" t="s">
        <v>136</v>
      </c>
      <c r="G20" s="19" t="s">
        <v>164</v>
      </c>
      <c r="H20" s="19" t="s">
        <v>172</v>
      </c>
      <c r="I20" s="19" t="s">
        <v>145</v>
      </c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</row>
    <row r="22" customFormat="false" ht="15" hidden="false" customHeight="false" outlineLevel="0" collapsed="false">
      <c r="A22" s="1"/>
      <c r="B22" s="3" t="s">
        <v>173</v>
      </c>
      <c r="C22" s="1"/>
      <c r="D22" s="1"/>
      <c r="E22" s="1"/>
      <c r="F22" s="1"/>
      <c r="G22" s="1"/>
      <c r="H22" s="1"/>
      <c r="I2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2" t="s">
        <v>174</v>
      </c>
      <c r="B1" s="1"/>
      <c r="C1" s="1"/>
      <c r="D1" s="1"/>
      <c r="E1" s="1"/>
    </row>
    <row r="2" customFormat="false" ht="15" hidden="false" customHeight="false" outlineLevel="0" collapsed="false">
      <c r="A2" s="3" t="s">
        <v>175</v>
      </c>
      <c r="B2" s="1"/>
      <c r="C2" s="1"/>
      <c r="D2" s="1"/>
      <c r="E2" s="1"/>
    </row>
    <row r="3" customFormat="false" ht="15" hidden="false" customHeight="false" outlineLevel="0" collapsed="false">
      <c r="A3" s="9" t="s">
        <v>176</v>
      </c>
      <c r="B3" s="9" t="s">
        <v>38</v>
      </c>
      <c r="C3" s="9" t="s">
        <v>40</v>
      </c>
      <c r="D3" s="9" t="s">
        <v>177</v>
      </c>
      <c r="E3" s="9" t="s">
        <v>43</v>
      </c>
    </row>
    <row r="4" customFormat="false" ht="15" hidden="false" customHeight="false" outlineLevel="0" collapsed="false">
      <c r="A4" s="15" t="n">
        <v>1</v>
      </c>
      <c r="B4" s="13" t="s">
        <v>44</v>
      </c>
      <c r="C4" s="13" t="s">
        <v>46</v>
      </c>
      <c r="D4" s="13" t="s">
        <v>178</v>
      </c>
      <c r="E4" s="13" t="s">
        <v>49</v>
      </c>
    </row>
    <row r="5" customFormat="false" ht="15" hidden="false" customHeight="false" outlineLevel="0" collapsed="false">
      <c r="A5" s="15" t="n">
        <v>2</v>
      </c>
      <c r="B5" s="13" t="s">
        <v>51</v>
      </c>
      <c r="C5" s="13" t="s">
        <v>52</v>
      </c>
      <c r="D5" s="13" t="s">
        <v>178</v>
      </c>
      <c r="E5" s="13" t="s">
        <v>54</v>
      </c>
    </row>
    <row r="6" customFormat="false" ht="15" hidden="false" customHeight="false" outlineLevel="0" collapsed="false">
      <c r="A6" s="15" t="n">
        <v>3</v>
      </c>
      <c r="B6" s="13" t="s">
        <v>51</v>
      </c>
      <c r="C6" s="13" t="s">
        <v>55</v>
      </c>
      <c r="D6" s="13" t="s">
        <v>178</v>
      </c>
      <c r="E6" s="13" t="s">
        <v>57</v>
      </c>
    </row>
    <row r="7" customFormat="false" ht="15" hidden="false" customHeight="false" outlineLevel="0" collapsed="false">
      <c r="A7" s="15" t="n">
        <v>4</v>
      </c>
      <c r="B7" s="13" t="s">
        <v>51</v>
      </c>
      <c r="C7" s="13" t="s">
        <v>61</v>
      </c>
      <c r="D7" s="13" t="s">
        <v>178</v>
      </c>
      <c r="E7" s="13" t="s">
        <v>62</v>
      </c>
    </row>
    <row r="8" customFormat="false" ht="15" hidden="false" customHeight="false" outlineLevel="0" collapsed="false">
      <c r="A8" s="15" t="n">
        <v>5</v>
      </c>
      <c r="B8" s="13" t="s">
        <v>63</v>
      </c>
      <c r="C8" s="13" t="s">
        <v>75</v>
      </c>
      <c r="D8" s="13" t="s">
        <v>178</v>
      </c>
      <c r="E8" s="13" t="s">
        <v>76</v>
      </c>
    </row>
    <row r="9" customFormat="false" ht="15" hidden="false" customHeight="false" outlineLevel="0" collapsed="false">
      <c r="A9" s="15" t="n">
        <v>6</v>
      </c>
      <c r="B9" s="13" t="s">
        <v>63</v>
      </c>
      <c r="C9" s="13" t="s">
        <v>64</v>
      </c>
      <c r="D9" s="13" t="s">
        <v>178</v>
      </c>
      <c r="E9" s="13" t="s">
        <v>66</v>
      </c>
    </row>
    <row r="10" customFormat="false" ht="15" hidden="false" customHeight="false" outlineLevel="0" collapsed="false">
      <c r="A10" s="15" t="n">
        <v>7</v>
      </c>
      <c r="B10" s="13" t="s">
        <v>63</v>
      </c>
      <c r="C10" s="13" t="s">
        <v>67</v>
      </c>
      <c r="D10" s="13" t="s">
        <v>178</v>
      </c>
      <c r="E10" s="13" t="s">
        <v>69</v>
      </c>
    </row>
    <row r="11" customFormat="false" ht="15" hidden="false" customHeight="false" outlineLevel="0" collapsed="false">
      <c r="A11" s="15" t="n">
        <v>8</v>
      </c>
      <c r="B11" s="13" t="s">
        <v>63</v>
      </c>
      <c r="C11" s="13" t="s">
        <v>73</v>
      </c>
      <c r="D11" s="13" t="s">
        <v>178</v>
      </c>
      <c r="E11" s="13" t="s">
        <v>74</v>
      </c>
    </row>
    <row r="12" customFormat="false" ht="15" hidden="false" customHeight="false" outlineLevel="0" collapsed="false">
      <c r="A12" s="15" t="n">
        <v>9</v>
      </c>
      <c r="B12" s="13" t="s">
        <v>63</v>
      </c>
      <c r="C12" s="13" t="s">
        <v>70</v>
      </c>
      <c r="D12" s="13" t="s">
        <v>178</v>
      </c>
      <c r="E12" s="13" t="s">
        <v>72</v>
      </c>
    </row>
    <row r="13" customFormat="false" ht="15" hidden="false" customHeight="false" outlineLevel="0" collapsed="false">
      <c r="A13" s="15" t="n">
        <v>10</v>
      </c>
      <c r="B13" s="13" t="s">
        <v>77</v>
      </c>
      <c r="C13" s="13" t="s">
        <v>78</v>
      </c>
      <c r="D13" s="13" t="s">
        <v>178</v>
      </c>
      <c r="E13" s="13" t="s">
        <v>79</v>
      </c>
    </row>
    <row r="14" customFormat="false" ht="15" hidden="false" customHeight="false" outlineLevel="0" collapsed="false">
      <c r="A14" s="15" t="n">
        <v>11</v>
      </c>
      <c r="B14" s="13" t="s">
        <v>80</v>
      </c>
      <c r="C14" s="13" t="s">
        <v>81</v>
      </c>
      <c r="D14" s="13" t="s">
        <v>178</v>
      </c>
      <c r="E14" s="13" t="s">
        <v>83</v>
      </c>
    </row>
    <row r="15" customFormat="false" ht="15" hidden="false" customHeight="false" outlineLevel="0" collapsed="false">
      <c r="A15" s="15" t="n">
        <v>12</v>
      </c>
      <c r="B15" s="13" t="s">
        <v>80</v>
      </c>
      <c r="C15" s="13" t="s">
        <v>90</v>
      </c>
      <c r="D15" s="13" t="s">
        <v>178</v>
      </c>
      <c r="E15" s="13" t="s">
        <v>91</v>
      </c>
    </row>
    <row r="16" customFormat="false" ht="15" hidden="false" customHeight="false" outlineLevel="0" collapsed="false">
      <c r="A16" s="15" t="n">
        <v>13</v>
      </c>
      <c r="B16" s="13" t="s">
        <v>80</v>
      </c>
      <c r="C16" s="13" t="s">
        <v>88</v>
      </c>
      <c r="D16" s="13" t="s">
        <v>178</v>
      </c>
      <c r="E16" s="13" t="s">
        <v>89</v>
      </c>
    </row>
    <row r="17" customFormat="false" ht="15" hidden="false" customHeight="false" outlineLevel="0" collapsed="false">
      <c r="A17" s="15" t="n">
        <v>14</v>
      </c>
      <c r="B17" s="13" t="s">
        <v>80</v>
      </c>
      <c r="C17" s="13" t="s">
        <v>86</v>
      </c>
      <c r="D17" s="13" t="s">
        <v>178</v>
      </c>
      <c r="E17" s="13" t="s">
        <v>87</v>
      </c>
    </row>
    <row r="18" customFormat="false" ht="15" hidden="false" customHeight="false" outlineLevel="0" collapsed="false">
      <c r="A18" s="15" t="n">
        <v>15</v>
      </c>
      <c r="B18" s="13" t="s">
        <v>80</v>
      </c>
      <c r="C18" s="13" t="s">
        <v>84</v>
      </c>
      <c r="D18" s="13" t="s">
        <v>178</v>
      </c>
      <c r="E18" s="13" t="s">
        <v>85</v>
      </c>
    </row>
    <row r="19" customFormat="false" ht="15" hidden="false" customHeight="false" outlineLevel="0" collapsed="false">
      <c r="A19" s="15" t="n">
        <v>16</v>
      </c>
      <c r="B19" s="13" t="s">
        <v>92</v>
      </c>
      <c r="C19" s="13" t="s">
        <v>95</v>
      </c>
      <c r="D19" s="13" t="s">
        <v>178</v>
      </c>
      <c r="E19" s="13" t="s">
        <v>96</v>
      </c>
    </row>
    <row r="20" customFormat="false" ht="15" hidden="false" customHeight="false" outlineLevel="0" collapsed="false">
      <c r="A20" s="15" t="n">
        <v>17</v>
      </c>
      <c r="B20" s="13" t="s">
        <v>92</v>
      </c>
      <c r="C20" s="13" t="s">
        <v>93</v>
      </c>
      <c r="D20" s="13" t="s">
        <v>178</v>
      </c>
      <c r="E20" s="13" t="s">
        <v>94</v>
      </c>
    </row>
    <row r="21" customFormat="false" ht="15" hidden="false" customHeight="false" outlineLevel="0" collapsed="false">
      <c r="A21" s="15" t="n">
        <v>18</v>
      </c>
      <c r="B21" s="13" t="s">
        <v>101</v>
      </c>
      <c r="C21" s="13" t="s">
        <v>105</v>
      </c>
      <c r="D21" s="13" t="s">
        <v>178</v>
      </c>
      <c r="E21" s="13" t="s">
        <v>106</v>
      </c>
    </row>
    <row r="22" customFormat="false" ht="15" hidden="false" customHeight="false" outlineLevel="0" collapsed="false">
      <c r="A22" s="15" t="n">
        <v>19</v>
      </c>
      <c r="B22" s="13" t="s">
        <v>101</v>
      </c>
      <c r="C22" s="13" t="s">
        <v>102</v>
      </c>
      <c r="D22" s="13" t="s">
        <v>178</v>
      </c>
      <c r="E22" s="13" t="s">
        <v>104</v>
      </c>
    </row>
    <row r="23" customFormat="false" ht="15" hidden="false" customHeight="false" outlineLevel="0" collapsed="false">
      <c r="A23" s="15" t="n">
        <v>20</v>
      </c>
      <c r="B23" s="13" t="s">
        <v>107</v>
      </c>
      <c r="C23" s="13" t="s">
        <v>108</v>
      </c>
      <c r="D23" s="13" t="s">
        <v>178</v>
      </c>
      <c r="E23" s="13" t="s">
        <v>110</v>
      </c>
    </row>
    <row r="24" customFormat="false" ht="15" hidden="false" customHeight="false" outlineLevel="0" collapsed="false">
      <c r="A24" s="15" t="n">
        <v>21</v>
      </c>
      <c r="B24" s="13" t="s">
        <v>107</v>
      </c>
      <c r="C24" s="13" t="s">
        <v>111</v>
      </c>
      <c r="D24" s="13" t="s">
        <v>178</v>
      </c>
      <c r="E24" s="13" t="s">
        <v>113</v>
      </c>
    </row>
    <row r="25" customFormat="false" ht="15" hidden="false" customHeight="false" outlineLevel="0" collapsed="false">
      <c r="A25" s="15" t="n">
        <v>22</v>
      </c>
      <c r="B25" s="13" t="s">
        <v>114</v>
      </c>
      <c r="C25" s="13" t="s">
        <v>115</v>
      </c>
      <c r="D25" s="13" t="s">
        <v>178</v>
      </c>
      <c r="E25" s="13" t="s">
        <v>117</v>
      </c>
    </row>
    <row r="26" customFormat="false" ht="15" hidden="false" customHeight="false" outlineLevel="0" collapsed="false">
      <c r="A26" s="15" t="n">
        <v>23</v>
      </c>
      <c r="B26" s="13" t="s">
        <v>118</v>
      </c>
      <c r="C26" s="13" t="s">
        <v>122</v>
      </c>
      <c r="D26" s="13" t="s">
        <v>178</v>
      </c>
      <c r="E26" s="13" t="s">
        <v>124</v>
      </c>
    </row>
    <row r="27" customFormat="false" ht="15" hidden="false" customHeight="false" outlineLevel="0" collapsed="false">
      <c r="A27" s="15" t="n">
        <v>24</v>
      </c>
      <c r="B27" s="13" t="s">
        <v>146</v>
      </c>
      <c r="C27" s="13" t="s">
        <v>147</v>
      </c>
      <c r="D27" s="13" t="s">
        <v>178</v>
      </c>
      <c r="E27" s="13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7"/>
    <col collapsed="false" customWidth="true" hidden="false" outlineLevel="0" max="15" min="15" style="0" width="40"/>
    <col collapsed="false" customWidth="true" hidden="false" outlineLevel="0" max="16" min="16" style="0" width="44"/>
    <col collapsed="false" customWidth="true" hidden="false" outlineLevel="0" max="17" min="17" style="0" width="10"/>
    <col collapsed="false" customWidth="true" hidden="false" outlineLevel="0" max="18" min="18" style="0" width="12"/>
    <col collapsed="false" customWidth="true" hidden="false" outlineLevel="0" max="19" min="19" style="0" width="9"/>
    <col collapsed="false" customWidth="true" hidden="false" outlineLevel="0" max="20" min="20" style="0" width="10"/>
    <col collapsed="false" customWidth="true" hidden="false" outlineLevel="0" max="21" min="21" style="0" width="13"/>
    <col collapsed="false" customWidth="true" hidden="false" outlineLevel="0" max="22" min="22" style="0" width="20"/>
    <col collapsed="false" customWidth="true" hidden="false" outlineLevel="0" max="23" min="23" style="0" width="12"/>
    <col collapsed="false" customWidth="true" hidden="false" outlineLevel="0" max="24" min="24" style="0" width="11"/>
    <col collapsed="false" customWidth="true" hidden="false" outlineLevel="0" max="25" min="25" style="0" width="20"/>
  </cols>
  <sheetData>
    <row r="1" customFormat="false" ht="17.35" hidden="false" customHeight="false" outlineLevel="0" collapsed="false">
      <c r="A1" s="2" t="s">
        <v>179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35.05" hidden="false" customHeight="false" outlineLevel="0" collapsed="false">
      <c r="A2" s="9" t="s">
        <v>180</v>
      </c>
      <c r="B2" s="9" t="s">
        <v>181</v>
      </c>
      <c r="C2" s="9" t="s">
        <v>182</v>
      </c>
      <c r="D2" s="9" t="s">
        <v>183</v>
      </c>
      <c r="E2" s="9" t="s">
        <v>184</v>
      </c>
      <c r="F2" s="9" t="s">
        <v>185</v>
      </c>
      <c r="G2" s="9" t="s">
        <v>186</v>
      </c>
      <c r="H2" s="9" t="s">
        <v>187</v>
      </c>
      <c r="I2" s="9" t="s">
        <v>188</v>
      </c>
      <c r="J2" s="9" t="s">
        <v>189</v>
      </c>
      <c r="K2" s="9" t="s">
        <v>190</v>
      </c>
      <c r="L2" s="9" t="s">
        <v>191</v>
      </c>
      <c r="M2" s="9" t="s">
        <v>192</v>
      </c>
      <c r="N2" s="9" t="s">
        <v>193</v>
      </c>
      <c r="O2" s="9" t="s">
        <v>194</v>
      </c>
      <c r="P2" s="9" t="s">
        <v>195</v>
      </c>
      <c r="Q2" s="9" t="s">
        <v>41</v>
      </c>
      <c r="R2" s="9" t="s">
        <v>196</v>
      </c>
      <c r="S2" s="9" t="s">
        <v>197</v>
      </c>
      <c r="T2" s="9" t="s">
        <v>198</v>
      </c>
      <c r="U2" s="9" t="s">
        <v>42</v>
      </c>
      <c r="V2" s="9" t="s">
        <v>199</v>
      </c>
      <c r="W2" s="9" t="s">
        <v>200</v>
      </c>
      <c r="X2" s="9" t="s">
        <v>201</v>
      </c>
      <c r="Y2" s="9" t="s">
        <v>202</v>
      </c>
    </row>
    <row r="3" customFormat="false" ht="35.05" hidden="false" customHeight="false" outlineLevel="0" collapsed="false">
      <c r="A3" s="16" t="s">
        <v>97</v>
      </c>
      <c r="B3" s="16" t="s">
        <v>203</v>
      </c>
      <c r="C3" s="16" t="s">
        <v>204</v>
      </c>
      <c r="D3" s="16" t="n">
        <v>190</v>
      </c>
      <c r="E3" s="16" t="n">
        <v>19</v>
      </c>
      <c r="F3" s="17"/>
      <c r="G3" s="16" t="n">
        <v>2</v>
      </c>
      <c r="H3" s="16" t="n">
        <v>0</v>
      </c>
      <c r="I3" s="16"/>
      <c r="J3" s="16"/>
      <c r="K3" s="16"/>
      <c r="L3" s="16"/>
      <c r="M3" s="16" t="n">
        <v>10</v>
      </c>
      <c r="N3" s="16" t="n">
        <v>1</v>
      </c>
      <c r="O3" s="16" t="s">
        <v>205</v>
      </c>
      <c r="P3" s="16" t="s">
        <v>206</v>
      </c>
      <c r="Q3" s="17"/>
      <c r="R3" s="16"/>
      <c r="S3" s="16"/>
      <c r="T3" s="16"/>
      <c r="U3" s="17"/>
      <c r="V3" s="17" t="s">
        <v>207</v>
      </c>
      <c r="W3" s="16" t="s">
        <v>93</v>
      </c>
      <c r="X3" s="16" t="s">
        <v>92</v>
      </c>
      <c r="Y3" s="16" t="s">
        <v>208</v>
      </c>
    </row>
    <row r="4" customFormat="false" ht="23.85" hidden="false" customHeight="false" outlineLevel="0" collapsed="false">
      <c r="A4" s="16" t="s">
        <v>209</v>
      </c>
      <c r="B4" s="16" t="s">
        <v>210</v>
      </c>
      <c r="C4" s="16" t="s">
        <v>211</v>
      </c>
      <c r="D4" s="16" t="n">
        <v>57</v>
      </c>
      <c r="E4" s="16" t="n">
        <v>19</v>
      </c>
      <c r="F4" s="17"/>
      <c r="G4" s="16" t="n">
        <v>1</v>
      </c>
      <c r="H4" s="16" t="n">
        <v>0</v>
      </c>
      <c r="I4" s="16"/>
      <c r="J4" s="16"/>
      <c r="K4" s="16"/>
      <c r="L4" s="16"/>
      <c r="M4" s="16" t="n">
        <v>3</v>
      </c>
      <c r="N4" s="16" t="n">
        <v>1</v>
      </c>
      <c r="O4" s="16" t="s">
        <v>212</v>
      </c>
      <c r="P4" s="16" t="s">
        <v>213</v>
      </c>
      <c r="Q4" s="17"/>
      <c r="R4" s="16"/>
      <c r="S4" s="16"/>
      <c r="T4" s="16"/>
      <c r="U4" s="17"/>
      <c r="V4" s="17" t="s">
        <v>207</v>
      </c>
      <c r="W4" s="16" t="s">
        <v>93</v>
      </c>
      <c r="X4" s="16" t="s">
        <v>92</v>
      </c>
      <c r="Y4" s="16" t="s">
        <v>208</v>
      </c>
    </row>
    <row r="5" customFormat="false" ht="23.85" hidden="false" customHeight="false" outlineLevel="0" collapsed="false">
      <c r="A5" s="10" t="s">
        <v>214</v>
      </c>
      <c r="B5" s="10" t="s">
        <v>215</v>
      </c>
      <c r="C5" s="10" t="s">
        <v>216</v>
      </c>
      <c r="D5" s="10" t="n">
        <v>38</v>
      </c>
      <c r="E5" s="10" t="n">
        <v>19</v>
      </c>
      <c r="F5" s="11"/>
      <c r="G5" s="10" t="n">
        <v>0</v>
      </c>
      <c r="H5" s="10" t="n">
        <v>38</v>
      </c>
      <c r="I5" s="24" t="n">
        <v>92.11</v>
      </c>
      <c r="J5" s="10"/>
      <c r="K5" s="10"/>
      <c r="L5" s="10"/>
      <c r="M5" s="10" t="n">
        <v>2</v>
      </c>
      <c r="N5" s="10" t="n">
        <v>1</v>
      </c>
      <c r="O5" s="10" t="s">
        <v>217</v>
      </c>
      <c r="P5" s="10" t="s">
        <v>218</v>
      </c>
      <c r="Q5" s="11" t="s">
        <v>123</v>
      </c>
      <c r="R5" s="10" t="s">
        <v>122</v>
      </c>
      <c r="S5" s="10" t="s">
        <v>219</v>
      </c>
      <c r="T5" s="25" t="n">
        <v>1</v>
      </c>
      <c r="U5" s="11" t="s">
        <v>48</v>
      </c>
      <c r="V5" s="10" t="s">
        <v>220</v>
      </c>
      <c r="W5" s="10" t="s">
        <v>102</v>
      </c>
      <c r="X5" s="10" t="s">
        <v>101</v>
      </c>
      <c r="Y5" s="10" t="s">
        <v>208</v>
      </c>
    </row>
    <row r="6" customFormat="false" ht="23.85" hidden="false" customHeight="false" outlineLevel="0" collapsed="false">
      <c r="A6" s="10" t="s">
        <v>214</v>
      </c>
      <c r="B6" s="10" t="s">
        <v>221</v>
      </c>
      <c r="C6" s="10" t="s">
        <v>222</v>
      </c>
      <c r="D6" s="10" t="n">
        <v>570</v>
      </c>
      <c r="E6" s="10" t="n">
        <v>19</v>
      </c>
      <c r="F6" s="11"/>
      <c r="G6" s="10" t="n">
        <v>15</v>
      </c>
      <c r="H6" s="10" t="n">
        <v>537</v>
      </c>
      <c r="I6" s="24" t="n">
        <v>90.5</v>
      </c>
      <c r="J6" s="10"/>
      <c r="K6" s="10"/>
      <c r="L6" s="10"/>
      <c r="M6" s="10" t="n">
        <v>19</v>
      </c>
      <c r="N6" s="10" t="n">
        <v>3</v>
      </c>
      <c r="O6" s="10" t="s">
        <v>223</v>
      </c>
      <c r="P6" s="10" t="s">
        <v>224</v>
      </c>
      <c r="Q6" s="11" t="s">
        <v>123</v>
      </c>
      <c r="R6" s="10" t="s">
        <v>122</v>
      </c>
      <c r="S6" s="10" t="s">
        <v>219</v>
      </c>
      <c r="T6" s="25" t="n">
        <v>1</v>
      </c>
      <c r="U6" s="11" t="s">
        <v>48</v>
      </c>
      <c r="V6" s="10" t="s">
        <v>220</v>
      </c>
      <c r="W6" s="10" t="s">
        <v>102</v>
      </c>
      <c r="X6" s="10" t="s">
        <v>101</v>
      </c>
      <c r="Y6" s="10" t="s">
        <v>208</v>
      </c>
    </row>
    <row r="7" customFormat="false" ht="23.85" hidden="false" customHeight="false" outlineLevel="0" collapsed="false">
      <c r="A7" s="10" t="s">
        <v>225</v>
      </c>
      <c r="B7" s="10" t="s">
        <v>226</v>
      </c>
      <c r="C7" s="10" t="s">
        <v>227</v>
      </c>
      <c r="D7" s="10" t="n">
        <v>38</v>
      </c>
      <c r="E7" s="10" t="n">
        <v>19</v>
      </c>
      <c r="F7" s="11"/>
      <c r="G7" s="10" t="n">
        <v>0</v>
      </c>
      <c r="H7" s="10" t="n">
        <v>38</v>
      </c>
      <c r="I7" s="24" t="n">
        <v>100</v>
      </c>
      <c r="J7" s="10"/>
      <c r="K7" s="10"/>
      <c r="L7" s="10"/>
      <c r="M7" s="10" t="n">
        <v>2</v>
      </c>
      <c r="N7" s="10" t="n">
        <v>1</v>
      </c>
      <c r="O7" s="10" t="s">
        <v>228</v>
      </c>
      <c r="P7" s="10" t="s">
        <v>218</v>
      </c>
      <c r="Q7" s="11" t="s">
        <v>123</v>
      </c>
      <c r="R7" s="10" t="s">
        <v>122</v>
      </c>
      <c r="S7" s="10" t="s">
        <v>219</v>
      </c>
      <c r="T7" s="25" t="n">
        <v>1</v>
      </c>
      <c r="U7" s="11" t="s">
        <v>48</v>
      </c>
      <c r="V7" s="10" t="s">
        <v>220</v>
      </c>
      <c r="W7" s="10" t="s">
        <v>102</v>
      </c>
      <c r="X7" s="10" t="s">
        <v>101</v>
      </c>
      <c r="Y7" s="10" t="s">
        <v>208</v>
      </c>
    </row>
    <row r="8" customFormat="false" ht="23.85" hidden="false" customHeight="false" outlineLevel="0" collapsed="false">
      <c r="A8" s="10" t="s">
        <v>229</v>
      </c>
      <c r="B8" s="10" t="s">
        <v>230</v>
      </c>
      <c r="C8" s="10" t="s">
        <v>231</v>
      </c>
      <c r="D8" s="10" t="n">
        <v>28</v>
      </c>
      <c r="E8" s="10" t="n">
        <v>28</v>
      </c>
      <c r="F8" s="11"/>
      <c r="G8" s="10" t="n">
        <v>2</v>
      </c>
      <c r="H8" s="10" t="n">
        <v>26</v>
      </c>
      <c r="I8" s="24" t="n">
        <v>96.15</v>
      </c>
      <c r="J8" s="10"/>
      <c r="K8" s="10"/>
      <c r="L8" s="10"/>
      <c r="M8" s="10" t="n">
        <v>1</v>
      </c>
      <c r="N8" s="10" t="n">
        <v>1</v>
      </c>
      <c r="O8" s="10" t="s">
        <v>232</v>
      </c>
      <c r="P8" s="10" t="s">
        <v>233</v>
      </c>
      <c r="Q8" s="11" t="s">
        <v>103</v>
      </c>
      <c r="R8" s="10" t="s">
        <v>102</v>
      </c>
      <c r="S8" s="10" t="s">
        <v>234</v>
      </c>
      <c r="T8" s="25" t="n">
        <v>1</v>
      </c>
      <c r="U8" s="11" t="s">
        <v>48</v>
      </c>
      <c r="V8" s="10" t="s">
        <v>220</v>
      </c>
      <c r="W8" s="10" t="s">
        <v>102</v>
      </c>
      <c r="X8" s="10" t="s">
        <v>101</v>
      </c>
      <c r="Y8" s="10" t="s">
        <v>208</v>
      </c>
    </row>
    <row r="9" customFormat="false" ht="23.85" hidden="false" customHeight="false" outlineLevel="0" collapsed="false">
      <c r="A9" s="10" t="s">
        <v>229</v>
      </c>
      <c r="B9" s="10" t="s">
        <v>235</v>
      </c>
      <c r="C9" s="10" t="s">
        <v>236</v>
      </c>
      <c r="D9" s="10" t="n">
        <v>28</v>
      </c>
      <c r="E9" s="10" t="n">
        <v>28</v>
      </c>
      <c r="F9" s="11"/>
      <c r="G9" s="10" t="n">
        <v>1</v>
      </c>
      <c r="H9" s="10" t="n">
        <v>27</v>
      </c>
      <c r="I9" s="24" t="n">
        <v>96.3</v>
      </c>
      <c r="J9" s="10"/>
      <c r="K9" s="10"/>
      <c r="L9" s="10"/>
      <c r="M9" s="10" t="n">
        <v>1</v>
      </c>
      <c r="N9" s="10" t="n">
        <v>1</v>
      </c>
      <c r="O9" s="10" t="s">
        <v>232</v>
      </c>
      <c r="P9" s="10" t="s">
        <v>233</v>
      </c>
      <c r="Q9" s="11" t="s">
        <v>103</v>
      </c>
      <c r="R9" s="10" t="s">
        <v>102</v>
      </c>
      <c r="S9" s="10" t="s">
        <v>219</v>
      </c>
      <c r="T9" s="25" t="n">
        <v>1</v>
      </c>
      <c r="U9" s="11" t="s">
        <v>48</v>
      </c>
      <c r="V9" s="10" t="s">
        <v>220</v>
      </c>
      <c r="W9" s="10" t="s">
        <v>102</v>
      </c>
      <c r="X9" s="10" t="s">
        <v>101</v>
      </c>
      <c r="Y9" s="10" t="s">
        <v>208</v>
      </c>
    </row>
    <row r="10" customFormat="false" ht="23.85" hidden="false" customHeight="false" outlineLevel="0" collapsed="false">
      <c r="A10" s="10" t="s">
        <v>229</v>
      </c>
      <c r="B10" s="10" t="s">
        <v>237</v>
      </c>
      <c r="C10" s="10" t="s">
        <v>238</v>
      </c>
      <c r="D10" s="10" t="n">
        <v>3</v>
      </c>
      <c r="E10" s="10" t="n">
        <v>3</v>
      </c>
      <c r="F10" s="11"/>
      <c r="G10" s="10" t="n">
        <v>1</v>
      </c>
      <c r="H10" s="10" t="n">
        <v>2</v>
      </c>
      <c r="I10" s="24" t="n">
        <v>100</v>
      </c>
      <c r="J10" s="10"/>
      <c r="K10" s="10"/>
      <c r="L10" s="10"/>
      <c r="M10" s="10" t="n">
        <v>1</v>
      </c>
      <c r="N10" s="10" t="n">
        <v>1</v>
      </c>
      <c r="O10" s="10" t="s">
        <v>232</v>
      </c>
      <c r="P10" s="10" t="s">
        <v>239</v>
      </c>
      <c r="Q10" s="11" t="s">
        <v>127</v>
      </c>
      <c r="R10" s="10" t="s">
        <v>126</v>
      </c>
      <c r="S10" s="10" t="s">
        <v>240</v>
      </c>
      <c r="T10" s="25" t="n">
        <v>1</v>
      </c>
      <c r="U10" s="11" t="s">
        <v>48</v>
      </c>
      <c r="V10" s="10" t="s">
        <v>220</v>
      </c>
      <c r="W10" s="10" t="s">
        <v>102</v>
      </c>
      <c r="X10" s="10" t="s">
        <v>101</v>
      </c>
      <c r="Y10" s="10" t="s">
        <v>208</v>
      </c>
    </row>
    <row r="11" customFormat="false" ht="23.85" hidden="false" customHeight="false" outlineLevel="0" collapsed="false">
      <c r="A11" s="10" t="s">
        <v>229</v>
      </c>
      <c r="B11" s="10" t="s">
        <v>241</v>
      </c>
      <c r="C11" s="10" t="s">
        <v>242</v>
      </c>
      <c r="D11" s="10" t="n">
        <v>479</v>
      </c>
      <c r="E11" s="10" t="n">
        <v>28</v>
      </c>
      <c r="F11" s="11"/>
      <c r="G11" s="10" t="n">
        <v>25</v>
      </c>
      <c r="H11" s="10" t="n">
        <v>454</v>
      </c>
      <c r="I11" s="24" t="n">
        <v>85.68</v>
      </c>
      <c r="J11" s="10"/>
      <c r="K11" s="10"/>
      <c r="L11" s="10"/>
      <c r="M11" s="10" t="n">
        <v>17</v>
      </c>
      <c r="N11" s="10" t="n">
        <v>2</v>
      </c>
      <c r="O11" s="10" t="s">
        <v>243</v>
      </c>
      <c r="P11" s="10" t="s">
        <v>244</v>
      </c>
      <c r="Q11" s="11" t="s">
        <v>103</v>
      </c>
      <c r="R11" s="10" t="s">
        <v>102</v>
      </c>
      <c r="S11" s="10" t="s">
        <v>219</v>
      </c>
      <c r="T11" s="25" t="n">
        <v>1</v>
      </c>
      <c r="U11" s="11" t="s">
        <v>48</v>
      </c>
      <c r="V11" s="10" t="s">
        <v>220</v>
      </c>
      <c r="W11" s="10" t="s">
        <v>102</v>
      </c>
      <c r="X11" s="10" t="s">
        <v>101</v>
      </c>
      <c r="Y11" s="10" t="s">
        <v>208</v>
      </c>
    </row>
    <row r="12" customFormat="false" ht="23.85" hidden="false" customHeight="false" outlineLevel="0" collapsed="false">
      <c r="A12" s="10" t="s">
        <v>229</v>
      </c>
      <c r="B12" s="10" t="s">
        <v>245</v>
      </c>
      <c r="C12" s="10" t="s">
        <v>246</v>
      </c>
      <c r="D12" s="10" t="n">
        <v>196</v>
      </c>
      <c r="E12" s="10" t="n">
        <v>28</v>
      </c>
      <c r="F12" s="11"/>
      <c r="G12" s="10" t="n">
        <v>5</v>
      </c>
      <c r="H12" s="10" t="n">
        <v>191</v>
      </c>
      <c r="I12" s="24" t="n">
        <v>92.67</v>
      </c>
      <c r="J12" s="10"/>
      <c r="K12" s="10"/>
      <c r="L12" s="10"/>
      <c r="M12" s="10" t="n">
        <v>7</v>
      </c>
      <c r="N12" s="10" t="n">
        <v>1</v>
      </c>
      <c r="O12" s="10" t="s">
        <v>247</v>
      </c>
      <c r="P12" s="10" t="s">
        <v>248</v>
      </c>
      <c r="Q12" s="11" t="s">
        <v>103</v>
      </c>
      <c r="R12" s="10" t="s">
        <v>102</v>
      </c>
      <c r="S12" s="10" t="s">
        <v>219</v>
      </c>
      <c r="T12" s="25" t="n">
        <v>1</v>
      </c>
      <c r="U12" s="11" t="s">
        <v>48</v>
      </c>
      <c r="V12" s="10" t="s">
        <v>220</v>
      </c>
      <c r="W12" s="10" t="s">
        <v>102</v>
      </c>
      <c r="X12" s="10" t="s">
        <v>101</v>
      </c>
      <c r="Y12" s="10" t="s">
        <v>208</v>
      </c>
    </row>
    <row r="13" customFormat="false" ht="23.85" hidden="false" customHeight="false" outlineLevel="0" collapsed="false">
      <c r="A13" s="10" t="s">
        <v>229</v>
      </c>
      <c r="B13" s="10" t="s">
        <v>249</v>
      </c>
      <c r="C13" s="10" t="s">
        <v>250</v>
      </c>
      <c r="D13" s="10" t="n">
        <v>548</v>
      </c>
      <c r="E13" s="10" t="n">
        <v>28</v>
      </c>
      <c r="F13" s="11"/>
      <c r="G13" s="10" t="n">
        <v>77</v>
      </c>
      <c r="H13" s="10" t="n">
        <v>470</v>
      </c>
      <c r="I13" s="24" t="n">
        <v>90.43</v>
      </c>
      <c r="J13" s="10"/>
      <c r="K13" s="10"/>
      <c r="L13" s="10"/>
      <c r="M13" s="10" t="n">
        <v>16</v>
      </c>
      <c r="N13" s="10" t="n">
        <v>3</v>
      </c>
      <c r="O13" s="10" t="s">
        <v>251</v>
      </c>
      <c r="P13" s="10" t="s">
        <v>252</v>
      </c>
      <c r="Q13" s="11" t="s">
        <v>103</v>
      </c>
      <c r="R13" s="10" t="s">
        <v>102</v>
      </c>
      <c r="S13" s="10" t="s">
        <v>219</v>
      </c>
      <c r="T13" s="25" t="n">
        <v>1</v>
      </c>
      <c r="U13" s="11" t="s">
        <v>48</v>
      </c>
      <c r="V13" s="10" t="s">
        <v>220</v>
      </c>
      <c r="W13" s="10" t="s">
        <v>102</v>
      </c>
      <c r="X13" s="10" t="s">
        <v>101</v>
      </c>
      <c r="Y13" s="10" t="s">
        <v>208</v>
      </c>
    </row>
    <row r="14" customFormat="false" ht="23.85" hidden="false" customHeight="false" outlineLevel="0" collapsed="false">
      <c r="A14" s="10" t="s">
        <v>229</v>
      </c>
      <c r="B14" s="10" t="s">
        <v>253</v>
      </c>
      <c r="C14" s="10" t="s">
        <v>254</v>
      </c>
      <c r="D14" s="10" t="n">
        <v>280</v>
      </c>
      <c r="E14" s="10" t="n">
        <v>28</v>
      </c>
      <c r="F14" s="11"/>
      <c r="G14" s="10" t="n">
        <v>212</v>
      </c>
      <c r="H14" s="10" t="n">
        <v>68</v>
      </c>
      <c r="I14" s="24" t="n">
        <v>73.53</v>
      </c>
      <c r="J14" s="10"/>
      <c r="K14" s="10"/>
      <c r="L14" s="10"/>
      <c r="M14" s="10" t="n">
        <v>10</v>
      </c>
      <c r="N14" s="10" t="n">
        <v>1</v>
      </c>
      <c r="O14" s="10" t="s">
        <v>255</v>
      </c>
      <c r="P14" s="10" t="s">
        <v>256</v>
      </c>
      <c r="Q14" s="11" t="s">
        <v>103</v>
      </c>
      <c r="R14" s="10" t="s">
        <v>102</v>
      </c>
      <c r="S14" s="10" t="s">
        <v>219</v>
      </c>
      <c r="T14" s="25" t="n">
        <v>1</v>
      </c>
      <c r="U14" s="11" t="s">
        <v>48</v>
      </c>
      <c r="V14" s="10" t="s">
        <v>220</v>
      </c>
      <c r="W14" s="10" t="s">
        <v>102</v>
      </c>
      <c r="X14" s="10" t="s">
        <v>101</v>
      </c>
      <c r="Y14" s="10" t="s">
        <v>208</v>
      </c>
    </row>
    <row r="15" customFormat="false" ht="23.85" hidden="false" customHeight="false" outlineLevel="0" collapsed="false">
      <c r="A15" s="10" t="s">
        <v>229</v>
      </c>
      <c r="B15" s="10" t="s">
        <v>257</v>
      </c>
      <c r="C15" s="10" t="s">
        <v>258</v>
      </c>
      <c r="D15" s="10" t="n">
        <v>224</v>
      </c>
      <c r="E15" s="10" t="n">
        <v>28</v>
      </c>
      <c r="F15" s="11"/>
      <c r="G15" s="10" t="n">
        <v>54</v>
      </c>
      <c r="H15" s="10" t="n">
        <v>170</v>
      </c>
      <c r="I15" s="24" t="n">
        <v>86.47</v>
      </c>
      <c r="J15" s="10"/>
      <c r="K15" s="10"/>
      <c r="L15" s="10"/>
      <c r="M15" s="10" t="n">
        <v>8</v>
      </c>
      <c r="N15" s="10" t="n">
        <v>2</v>
      </c>
      <c r="O15" s="10" t="s">
        <v>259</v>
      </c>
      <c r="P15" s="10" t="s">
        <v>260</v>
      </c>
      <c r="Q15" s="11" t="s">
        <v>103</v>
      </c>
      <c r="R15" s="10" t="s">
        <v>102</v>
      </c>
      <c r="S15" s="10" t="s">
        <v>219</v>
      </c>
      <c r="T15" s="25" t="n">
        <v>1</v>
      </c>
      <c r="U15" s="11" t="s">
        <v>48</v>
      </c>
      <c r="V15" s="10" t="s">
        <v>220</v>
      </c>
      <c r="W15" s="10" t="s">
        <v>102</v>
      </c>
      <c r="X15" s="10" t="s">
        <v>101</v>
      </c>
      <c r="Y15" s="10" t="s">
        <v>208</v>
      </c>
    </row>
    <row r="16" customFormat="false" ht="23.85" hidden="false" customHeight="false" outlineLevel="0" collapsed="false">
      <c r="A16" s="10" t="s">
        <v>261</v>
      </c>
      <c r="B16" s="10" t="s">
        <v>262</v>
      </c>
      <c r="C16" s="10" t="s">
        <v>263</v>
      </c>
      <c r="D16" s="10" t="n">
        <v>1260</v>
      </c>
      <c r="E16" s="10" t="n">
        <v>28</v>
      </c>
      <c r="F16" s="11"/>
      <c r="G16" s="10" t="n">
        <v>84</v>
      </c>
      <c r="H16" s="10" t="n">
        <v>1176</v>
      </c>
      <c r="I16" s="24" t="n">
        <v>87.5</v>
      </c>
      <c r="J16" s="10"/>
      <c r="K16" s="10"/>
      <c r="L16" s="10"/>
      <c r="M16" s="10" t="n">
        <v>25</v>
      </c>
      <c r="N16" s="10" t="n">
        <v>6</v>
      </c>
      <c r="O16" s="10" t="s">
        <v>264</v>
      </c>
      <c r="P16" s="10" t="s">
        <v>265</v>
      </c>
      <c r="Q16" s="11" t="s">
        <v>103</v>
      </c>
      <c r="R16" s="10" t="s">
        <v>102</v>
      </c>
      <c r="S16" s="10" t="s">
        <v>219</v>
      </c>
      <c r="T16" s="25" t="n">
        <v>1</v>
      </c>
      <c r="U16" s="11" t="s">
        <v>48</v>
      </c>
      <c r="V16" s="10" t="s">
        <v>220</v>
      </c>
      <c r="W16" s="10" t="s">
        <v>102</v>
      </c>
      <c r="X16" s="10" t="s">
        <v>101</v>
      </c>
      <c r="Y16" s="10" t="s">
        <v>208</v>
      </c>
    </row>
    <row r="17" customFormat="false" ht="23.85" hidden="false" customHeight="false" outlineLevel="0" collapsed="false">
      <c r="A17" s="10" t="s">
        <v>261</v>
      </c>
      <c r="B17" s="10" t="s">
        <v>266</v>
      </c>
      <c r="C17" s="10" t="s">
        <v>267</v>
      </c>
      <c r="D17" s="10" t="n">
        <v>252</v>
      </c>
      <c r="E17" s="10" t="n">
        <v>28</v>
      </c>
      <c r="F17" s="11"/>
      <c r="G17" s="10" t="n">
        <v>2</v>
      </c>
      <c r="H17" s="10" t="n">
        <v>250</v>
      </c>
      <c r="I17" s="24" t="n">
        <v>90.4</v>
      </c>
      <c r="J17" s="10"/>
      <c r="K17" s="10"/>
      <c r="L17" s="10"/>
      <c r="M17" s="10" t="n">
        <v>9</v>
      </c>
      <c r="N17" s="10" t="n">
        <v>1</v>
      </c>
      <c r="O17" s="10" t="s">
        <v>268</v>
      </c>
      <c r="P17" s="10" t="s">
        <v>269</v>
      </c>
      <c r="Q17" s="11" t="s">
        <v>103</v>
      </c>
      <c r="R17" s="10" t="s">
        <v>102</v>
      </c>
      <c r="S17" s="10" t="s">
        <v>219</v>
      </c>
      <c r="T17" s="25" t="n">
        <v>1</v>
      </c>
      <c r="U17" s="11" t="s">
        <v>48</v>
      </c>
      <c r="V17" s="10" t="s">
        <v>220</v>
      </c>
      <c r="W17" s="10" t="s">
        <v>102</v>
      </c>
      <c r="X17" s="10" t="s">
        <v>101</v>
      </c>
      <c r="Y17" s="10" t="s">
        <v>208</v>
      </c>
    </row>
    <row r="18" customFormat="false" ht="23.85" hidden="false" customHeight="false" outlineLevel="0" collapsed="false">
      <c r="A18" s="10" t="s">
        <v>261</v>
      </c>
      <c r="B18" s="10" t="s">
        <v>270</v>
      </c>
      <c r="C18" s="10" t="s">
        <v>271</v>
      </c>
      <c r="D18" s="10" t="n">
        <v>168</v>
      </c>
      <c r="E18" s="10" t="n">
        <v>28</v>
      </c>
      <c r="F18" s="11"/>
      <c r="G18" s="10" t="n">
        <v>0</v>
      </c>
      <c r="H18" s="10" t="n">
        <v>168</v>
      </c>
      <c r="I18" s="24" t="n">
        <v>88.69</v>
      </c>
      <c r="J18" s="10"/>
      <c r="K18" s="10"/>
      <c r="L18" s="10"/>
      <c r="M18" s="10" t="n">
        <v>6</v>
      </c>
      <c r="N18" s="10" t="n">
        <v>1</v>
      </c>
      <c r="O18" s="10" t="s">
        <v>272</v>
      </c>
      <c r="P18" s="10" t="s">
        <v>273</v>
      </c>
      <c r="Q18" s="11" t="s">
        <v>103</v>
      </c>
      <c r="R18" s="10" t="s">
        <v>102</v>
      </c>
      <c r="S18" s="10" t="s">
        <v>219</v>
      </c>
      <c r="T18" s="25" t="n">
        <v>1</v>
      </c>
      <c r="U18" s="11" t="s">
        <v>48</v>
      </c>
      <c r="V18" s="10" t="s">
        <v>220</v>
      </c>
      <c r="W18" s="10" t="s">
        <v>102</v>
      </c>
      <c r="X18" s="10" t="s">
        <v>101</v>
      </c>
      <c r="Y18" s="10" t="s">
        <v>208</v>
      </c>
    </row>
    <row r="19" customFormat="false" ht="23.85" hidden="false" customHeight="false" outlineLevel="0" collapsed="false">
      <c r="A19" s="10" t="s">
        <v>261</v>
      </c>
      <c r="B19" s="10" t="s">
        <v>274</v>
      </c>
      <c r="C19" s="10" t="s">
        <v>275</v>
      </c>
      <c r="D19" s="10" t="n">
        <v>196</v>
      </c>
      <c r="E19" s="10" t="n">
        <v>28</v>
      </c>
      <c r="F19" s="11"/>
      <c r="G19" s="10" t="n">
        <v>4</v>
      </c>
      <c r="H19" s="10" t="n">
        <v>192</v>
      </c>
      <c r="I19" s="24" t="n">
        <v>92.71</v>
      </c>
      <c r="J19" s="10"/>
      <c r="K19" s="10"/>
      <c r="L19" s="10"/>
      <c r="M19" s="10" t="n">
        <v>7</v>
      </c>
      <c r="N19" s="10" t="n">
        <v>1</v>
      </c>
      <c r="O19" s="10" t="s">
        <v>247</v>
      </c>
      <c r="P19" s="10" t="s">
        <v>248</v>
      </c>
      <c r="Q19" s="11" t="s">
        <v>103</v>
      </c>
      <c r="R19" s="10" t="s">
        <v>102</v>
      </c>
      <c r="S19" s="10" t="s">
        <v>219</v>
      </c>
      <c r="T19" s="25" t="n">
        <v>1</v>
      </c>
      <c r="U19" s="11" t="s">
        <v>48</v>
      </c>
      <c r="V19" s="10" t="s">
        <v>220</v>
      </c>
      <c r="W19" s="10" t="s">
        <v>102</v>
      </c>
      <c r="X19" s="10" t="s">
        <v>101</v>
      </c>
      <c r="Y19" s="10" t="s">
        <v>208</v>
      </c>
    </row>
    <row r="20" customFormat="false" ht="23.85" hidden="false" customHeight="false" outlineLevel="0" collapsed="false">
      <c r="A20" s="10" t="s">
        <v>261</v>
      </c>
      <c r="B20" s="10" t="s">
        <v>276</v>
      </c>
      <c r="C20" s="10" t="s">
        <v>277</v>
      </c>
      <c r="D20" s="10" t="n">
        <v>252</v>
      </c>
      <c r="E20" s="10" t="n">
        <v>28</v>
      </c>
      <c r="F20" s="11"/>
      <c r="G20" s="10" t="n">
        <v>1</v>
      </c>
      <c r="H20" s="10" t="n">
        <v>251</v>
      </c>
      <c r="I20" s="24" t="n">
        <v>90.04</v>
      </c>
      <c r="J20" s="10"/>
      <c r="K20" s="10"/>
      <c r="L20" s="10"/>
      <c r="M20" s="10" t="n">
        <v>9</v>
      </c>
      <c r="N20" s="10" t="n">
        <v>1</v>
      </c>
      <c r="O20" s="10" t="s">
        <v>268</v>
      </c>
      <c r="P20" s="10" t="s">
        <v>269</v>
      </c>
      <c r="Q20" s="11" t="s">
        <v>103</v>
      </c>
      <c r="R20" s="10" t="s">
        <v>102</v>
      </c>
      <c r="S20" s="10" t="s">
        <v>219</v>
      </c>
      <c r="T20" s="25" t="n">
        <v>1</v>
      </c>
      <c r="U20" s="11" t="s">
        <v>48</v>
      </c>
      <c r="V20" s="10" t="s">
        <v>220</v>
      </c>
      <c r="W20" s="10" t="s">
        <v>102</v>
      </c>
      <c r="X20" s="10" t="s">
        <v>101</v>
      </c>
      <c r="Y20" s="10" t="s">
        <v>208</v>
      </c>
    </row>
    <row r="21" customFormat="false" ht="23.85" hidden="false" customHeight="false" outlineLevel="0" collapsed="false">
      <c r="A21" s="10" t="s">
        <v>261</v>
      </c>
      <c r="B21" s="10" t="s">
        <v>278</v>
      </c>
      <c r="C21" s="10" t="s">
        <v>279</v>
      </c>
      <c r="D21" s="10" t="n">
        <v>168</v>
      </c>
      <c r="E21" s="10" t="n">
        <v>28</v>
      </c>
      <c r="F21" s="11"/>
      <c r="G21" s="10" t="n">
        <v>1</v>
      </c>
      <c r="H21" s="10" t="n">
        <v>167</v>
      </c>
      <c r="I21" s="24" t="n">
        <v>89.22</v>
      </c>
      <c r="J21" s="10"/>
      <c r="K21" s="10"/>
      <c r="L21" s="10"/>
      <c r="M21" s="10" t="n">
        <v>6</v>
      </c>
      <c r="N21" s="10" t="n">
        <v>1</v>
      </c>
      <c r="O21" s="10" t="s">
        <v>272</v>
      </c>
      <c r="P21" s="10" t="s">
        <v>273</v>
      </c>
      <c r="Q21" s="11" t="s">
        <v>103</v>
      </c>
      <c r="R21" s="10" t="s">
        <v>102</v>
      </c>
      <c r="S21" s="10" t="s">
        <v>219</v>
      </c>
      <c r="T21" s="25" t="n">
        <v>1</v>
      </c>
      <c r="U21" s="11" t="s">
        <v>48</v>
      </c>
      <c r="V21" s="10" t="s">
        <v>220</v>
      </c>
      <c r="W21" s="10" t="s">
        <v>102</v>
      </c>
      <c r="X21" s="10" t="s">
        <v>101</v>
      </c>
      <c r="Y21" s="10" t="s">
        <v>208</v>
      </c>
    </row>
    <row r="22" customFormat="false" ht="23.85" hidden="false" customHeight="false" outlineLevel="0" collapsed="false">
      <c r="A22" s="10" t="s">
        <v>261</v>
      </c>
      <c r="B22" s="10" t="s">
        <v>280</v>
      </c>
      <c r="C22" s="10" t="s">
        <v>281</v>
      </c>
      <c r="D22" s="10" t="n">
        <v>252</v>
      </c>
      <c r="E22" s="10" t="n">
        <v>28</v>
      </c>
      <c r="F22" s="11"/>
      <c r="G22" s="10" t="n">
        <v>1</v>
      </c>
      <c r="H22" s="10" t="n">
        <v>251</v>
      </c>
      <c r="I22" s="24" t="n">
        <v>90.84</v>
      </c>
      <c r="J22" s="10"/>
      <c r="K22" s="10"/>
      <c r="L22" s="10"/>
      <c r="M22" s="10" t="n">
        <v>9</v>
      </c>
      <c r="N22" s="10" t="n">
        <v>1</v>
      </c>
      <c r="O22" s="10" t="s">
        <v>268</v>
      </c>
      <c r="P22" s="10" t="s">
        <v>269</v>
      </c>
      <c r="Q22" s="11" t="s">
        <v>103</v>
      </c>
      <c r="R22" s="10" t="s">
        <v>102</v>
      </c>
      <c r="S22" s="10" t="s">
        <v>219</v>
      </c>
      <c r="T22" s="25" t="n">
        <v>1</v>
      </c>
      <c r="U22" s="11" t="s">
        <v>48</v>
      </c>
      <c r="V22" s="10" t="s">
        <v>220</v>
      </c>
      <c r="W22" s="10" t="s">
        <v>102</v>
      </c>
      <c r="X22" s="10" t="s">
        <v>101</v>
      </c>
      <c r="Y22" s="10" t="s">
        <v>208</v>
      </c>
    </row>
    <row r="23" customFormat="false" ht="23.85" hidden="false" customHeight="false" outlineLevel="0" collapsed="false">
      <c r="A23" s="10" t="s">
        <v>261</v>
      </c>
      <c r="B23" s="10" t="s">
        <v>282</v>
      </c>
      <c r="C23" s="10" t="s">
        <v>283</v>
      </c>
      <c r="D23" s="10" t="n">
        <v>280</v>
      </c>
      <c r="E23" s="10" t="n">
        <v>28</v>
      </c>
      <c r="F23" s="11"/>
      <c r="G23" s="10" t="n">
        <v>6</v>
      </c>
      <c r="H23" s="10" t="n">
        <v>274</v>
      </c>
      <c r="I23" s="24" t="n">
        <v>91.24</v>
      </c>
      <c r="J23" s="10"/>
      <c r="K23" s="10"/>
      <c r="L23" s="10"/>
      <c r="M23" s="10" t="n">
        <v>10</v>
      </c>
      <c r="N23" s="10" t="n">
        <v>1</v>
      </c>
      <c r="O23" s="10" t="s">
        <v>284</v>
      </c>
      <c r="P23" s="10" t="s">
        <v>256</v>
      </c>
      <c r="Q23" s="11" t="s">
        <v>103</v>
      </c>
      <c r="R23" s="10" t="s">
        <v>102</v>
      </c>
      <c r="S23" s="10" t="s">
        <v>219</v>
      </c>
      <c r="T23" s="25" t="n">
        <v>1</v>
      </c>
      <c r="U23" s="11" t="s">
        <v>48</v>
      </c>
      <c r="V23" s="10" t="s">
        <v>220</v>
      </c>
      <c r="W23" s="10" t="s">
        <v>102</v>
      </c>
      <c r="X23" s="10" t="s">
        <v>101</v>
      </c>
      <c r="Y23" s="10" t="s">
        <v>208</v>
      </c>
    </row>
    <row r="24" customFormat="false" ht="23.85" hidden="false" customHeight="false" outlineLevel="0" collapsed="false">
      <c r="A24" s="10" t="s">
        <v>261</v>
      </c>
      <c r="B24" s="10" t="s">
        <v>285</v>
      </c>
      <c r="C24" s="10" t="s">
        <v>286</v>
      </c>
      <c r="D24" s="10" t="n">
        <v>224</v>
      </c>
      <c r="E24" s="10" t="n">
        <v>28</v>
      </c>
      <c r="F24" s="11"/>
      <c r="G24" s="10" t="n">
        <v>13</v>
      </c>
      <c r="H24" s="10" t="n">
        <v>211</v>
      </c>
      <c r="I24" s="24" t="n">
        <v>82.46</v>
      </c>
      <c r="J24" s="10"/>
      <c r="K24" s="10"/>
      <c r="L24" s="10"/>
      <c r="M24" s="10" t="n">
        <v>8</v>
      </c>
      <c r="N24" s="10" t="n">
        <v>1</v>
      </c>
      <c r="O24" s="10" t="s">
        <v>243</v>
      </c>
      <c r="P24" s="10" t="s">
        <v>260</v>
      </c>
      <c r="Q24" s="11" t="s">
        <v>103</v>
      </c>
      <c r="R24" s="10" t="s">
        <v>102</v>
      </c>
      <c r="S24" s="10" t="s">
        <v>219</v>
      </c>
      <c r="T24" s="25" t="n">
        <v>1</v>
      </c>
      <c r="U24" s="11" t="s">
        <v>48</v>
      </c>
      <c r="V24" s="10" t="s">
        <v>220</v>
      </c>
      <c r="W24" s="10" t="s">
        <v>102</v>
      </c>
      <c r="X24" s="10" t="s">
        <v>101</v>
      </c>
      <c r="Y24" s="10" t="s">
        <v>208</v>
      </c>
    </row>
    <row r="25" customFormat="false" ht="23.85" hidden="false" customHeight="false" outlineLevel="0" collapsed="false">
      <c r="A25" s="10" t="s">
        <v>261</v>
      </c>
      <c r="B25" s="10" t="s">
        <v>287</v>
      </c>
      <c r="C25" s="10" t="s">
        <v>288</v>
      </c>
      <c r="D25" s="10" t="n">
        <v>196</v>
      </c>
      <c r="E25" s="10" t="n">
        <v>28</v>
      </c>
      <c r="F25" s="11"/>
      <c r="G25" s="10" t="n">
        <v>6</v>
      </c>
      <c r="H25" s="10" t="n">
        <v>190</v>
      </c>
      <c r="I25" s="24" t="n">
        <v>92.11</v>
      </c>
      <c r="J25" s="10"/>
      <c r="K25" s="10"/>
      <c r="L25" s="10"/>
      <c r="M25" s="10" t="n">
        <v>7</v>
      </c>
      <c r="N25" s="10" t="n">
        <v>1</v>
      </c>
      <c r="O25" s="10" t="s">
        <v>247</v>
      </c>
      <c r="P25" s="10" t="s">
        <v>248</v>
      </c>
      <c r="Q25" s="11" t="s">
        <v>103</v>
      </c>
      <c r="R25" s="10" t="s">
        <v>102</v>
      </c>
      <c r="S25" s="10" t="s">
        <v>219</v>
      </c>
      <c r="T25" s="25" t="n">
        <v>1</v>
      </c>
      <c r="U25" s="11" t="s">
        <v>48</v>
      </c>
      <c r="V25" s="10" t="s">
        <v>220</v>
      </c>
      <c r="W25" s="10" t="s">
        <v>102</v>
      </c>
      <c r="X25" s="10" t="s">
        <v>101</v>
      </c>
      <c r="Y25" s="10" t="s">
        <v>208</v>
      </c>
    </row>
    <row r="26" customFormat="false" ht="23.85" hidden="false" customHeight="false" outlineLevel="0" collapsed="false">
      <c r="A26" s="10" t="s">
        <v>261</v>
      </c>
      <c r="B26" s="10" t="s">
        <v>289</v>
      </c>
      <c r="C26" s="10" t="s">
        <v>290</v>
      </c>
      <c r="D26" s="10" t="n">
        <v>252</v>
      </c>
      <c r="E26" s="10" t="n">
        <v>28</v>
      </c>
      <c r="F26" s="11"/>
      <c r="G26" s="10" t="n">
        <v>1</v>
      </c>
      <c r="H26" s="10" t="n">
        <v>251</v>
      </c>
      <c r="I26" s="24" t="n">
        <v>90.44</v>
      </c>
      <c r="J26" s="10"/>
      <c r="K26" s="10"/>
      <c r="L26" s="10"/>
      <c r="M26" s="10" t="n">
        <v>9</v>
      </c>
      <c r="N26" s="10" t="n">
        <v>1</v>
      </c>
      <c r="O26" s="10" t="s">
        <v>268</v>
      </c>
      <c r="P26" s="10" t="s">
        <v>269</v>
      </c>
      <c r="Q26" s="11" t="s">
        <v>103</v>
      </c>
      <c r="R26" s="10" t="s">
        <v>102</v>
      </c>
      <c r="S26" s="10" t="s">
        <v>219</v>
      </c>
      <c r="T26" s="25" t="n">
        <v>1</v>
      </c>
      <c r="U26" s="11" t="s">
        <v>48</v>
      </c>
      <c r="V26" s="10" t="s">
        <v>220</v>
      </c>
      <c r="W26" s="10" t="s">
        <v>102</v>
      </c>
      <c r="X26" s="10" t="s">
        <v>101</v>
      </c>
      <c r="Y26" s="10" t="s">
        <v>208</v>
      </c>
    </row>
    <row r="27" customFormat="false" ht="23.85" hidden="false" customHeight="false" outlineLevel="0" collapsed="false">
      <c r="A27" s="10" t="s">
        <v>261</v>
      </c>
      <c r="B27" s="10" t="s">
        <v>291</v>
      </c>
      <c r="C27" s="10" t="s">
        <v>292</v>
      </c>
      <c r="D27" s="10" t="n">
        <v>168</v>
      </c>
      <c r="E27" s="10" t="n">
        <v>28</v>
      </c>
      <c r="F27" s="11"/>
      <c r="G27" s="10" t="n">
        <v>2</v>
      </c>
      <c r="H27" s="10" t="n">
        <v>166</v>
      </c>
      <c r="I27" s="24" t="n">
        <v>89.76</v>
      </c>
      <c r="J27" s="10"/>
      <c r="K27" s="10"/>
      <c r="L27" s="10"/>
      <c r="M27" s="10" t="n">
        <v>6</v>
      </c>
      <c r="N27" s="10" t="n">
        <v>1</v>
      </c>
      <c r="O27" s="10" t="s">
        <v>272</v>
      </c>
      <c r="P27" s="10" t="s">
        <v>273</v>
      </c>
      <c r="Q27" s="11" t="s">
        <v>103</v>
      </c>
      <c r="R27" s="10" t="s">
        <v>102</v>
      </c>
      <c r="S27" s="10" t="s">
        <v>219</v>
      </c>
      <c r="T27" s="25" t="n">
        <v>1</v>
      </c>
      <c r="U27" s="11" t="s">
        <v>48</v>
      </c>
      <c r="V27" s="10" t="s">
        <v>220</v>
      </c>
      <c r="W27" s="10" t="s">
        <v>102</v>
      </c>
      <c r="X27" s="10" t="s">
        <v>101</v>
      </c>
      <c r="Y27" s="10" t="s">
        <v>208</v>
      </c>
    </row>
    <row r="28" customFormat="false" ht="23.85" hidden="false" customHeight="false" outlineLevel="0" collapsed="false">
      <c r="A28" s="10" t="s">
        <v>261</v>
      </c>
      <c r="B28" s="10" t="s">
        <v>293</v>
      </c>
      <c r="C28" s="10" t="s">
        <v>294</v>
      </c>
      <c r="D28" s="10" t="n">
        <v>140</v>
      </c>
      <c r="E28" s="10" t="n">
        <v>28</v>
      </c>
      <c r="F28" s="11"/>
      <c r="G28" s="10" t="n">
        <v>57</v>
      </c>
      <c r="H28" s="10" t="n">
        <v>83</v>
      </c>
      <c r="I28" s="24" t="n">
        <v>72.29</v>
      </c>
      <c r="J28" s="10"/>
      <c r="K28" s="10"/>
      <c r="L28" s="10"/>
      <c r="M28" s="10" t="n">
        <v>5</v>
      </c>
      <c r="N28" s="10" t="n">
        <v>1</v>
      </c>
      <c r="O28" s="10" t="s">
        <v>295</v>
      </c>
      <c r="P28" s="10" t="s">
        <v>296</v>
      </c>
      <c r="Q28" s="11" t="s">
        <v>103</v>
      </c>
      <c r="R28" s="10" t="s">
        <v>102</v>
      </c>
      <c r="S28" s="10" t="s">
        <v>219</v>
      </c>
      <c r="T28" s="25" t="n">
        <v>1</v>
      </c>
      <c r="U28" s="11" t="s">
        <v>48</v>
      </c>
      <c r="V28" s="10" t="s">
        <v>220</v>
      </c>
      <c r="W28" s="10" t="s">
        <v>102</v>
      </c>
      <c r="X28" s="10" t="s">
        <v>101</v>
      </c>
      <c r="Y28" s="10" t="s">
        <v>208</v>
      </c>
    </row>
    <row r="29" customFormat="false" ht="23.85" hidden="false" customHeight="false" outlineLevel="0" collapsed="false">
      <c r="A29" s="10" t="s">
        <v>261</v>
      </c>
      <c r="B29" s="10" t="s">
        <v>297</v>
      </c>
      <c r="C29" s="10" t="s">
        <v>298</v>
      </c>
      <c r="D29" s="10" t="n">
        <v>168</v>
      </c>
      <c r="E29" s="10" t="n">
        <v>28</v>
      </c>
      <c r="F29" s="11"/>
      <c r="G29" s="10" t="n">
        <v>1</v>
      </c>
      <c r="H29" s="10" t="n">
        <v>167</v>
      </c>
      <c r="I29" s="24" t="n">
        <v>89.22</v>
      </c>
      <c r="J29" s="10"/>
      <c r="K29" s="10"/>
      <c r="L29" s="10"/>
      <c r="M29" s="10" t="n">
        <v>6</v>
      </c>
      <c r="N29" s="10" t="n">
        <v>1</v>
      </c>
      <c r="O29" s="10" t="s">
        <v>272</v>
      </c>
      <c r="P29" s="10" t="s">
        <v>273</v>
      </c>
      <c r="Q29" s="11" t="s">
        <v>103</v>
      </c>
      <c r="R29" s="10" t="s">
        <v>102</v>
      </c>
      <c r="S29" s="10" t="s">
        <v>219</v>
      </c>
      <c r="T29" s="25" t="n">
        <v>1</v>
      </c>
      <c r="U29" s="11" t="s">
        <v>48</v>
      </c>
      <c r="V29" s="10" t="s">
        <v>220</v>
      </c>
      <c r="W29" s="10" t="s">
        <v>102</v>
      </c>
      <c r="X29" s="10" t="s">
        <v>101</v>
      </c>
      <c r="Y29" s="10" t="s">
        <v>208</v>
      </c>
    </row>
    <row r="30" customFormat="false" ht="23.85" hidden="false" customHeight="false" outlineLevel="0" collapsed="false">
      <c r="A30" s="10" t="s">
        <v>261</v>
      </c>
      <c r="B30" s="10" t="s">
        <v>299</v>
      </c>
      <c r="C30" s="10" t="s">
        <v>300</v>
      </c>
      <c r="D30" s="10" t="n">
        <v>196</v>
      </c>
      <c r="E30" s="10" t="n">
        <v>28</v>
      </c>
      <c r="F30" s="11"/>
      <c r="G30" s="10" t="n">
        <v>2</v>
      </c>
      <c r="H30" s="10" t="n">
        <v>194</v>
      </c>
      <c r="I30" s="24" t="n">
        <v>91.24</v>
      </c>
      <c r="J30" s="10"/>
      <c r="K30" s="10"/>
      <c r="L30" s="10"/>
      <c r="M30" s="10" t="n">
        <v>7</v>
      </c>
      <c r="N30" s="10" t="n">
        <v>1</v>
      </c>
      <c r="O30" s="10" t="s">
        <v>247</v>
      </c>
      <c r="P30" s="10" t="s">
        <v>248</v>
      </c>
      <c r="Q30" s="11" t="s">
        <v>103</v>
      </c>
      <c r="R30" s="10" t="s">
        <v>102</v>
      </c>
      <c r="S30" s="10" t="s">
        <v>219</v>
      </c>
      <c r="T30" s="25" t="n">
        <v>1</v>
      </c>
      <c r="U30" s="11" t="s">
        <v>48</v>
      </c>
      <c r="V30" s="10" t="s">
        <v>220</v>
      </c>
      <c r="W30" s="10" t="s">
        <v>102</v>
      </c>
      <c r="X30" s="10" t="s">
        <v>101</v>
      </c>
      <c r="Y30" s="10" t="s">
        <v>208</v>
      </c>
    </row>
    <row r="31" customFormat="false" ht="23.85" hidden="false" customHeight="false" outlineLevel="0" collapsed="false">
      <c r="A31" s="10" t="s">
        <v>261</v>
      </c>
      <c r="B31" s="10" t="s">
        <v>301</v>
      </c>
      <c r="C31" s="10" t="s">
        <v>302</v>
      </c>
      <c r="D31" s="10" t="n">
        <v>280</v>
      </c>
      <c r="E31" s="10" t="n">
        <v>28</v>
      </c>
      <c r="F31" s="11"/>
      <c r="G31" s="10" t="n">
        <v>9</v>
      </c>
      <c r="H31" s="10" t="n">
        <v>271</v>
      </c>
      <c r="I31" s="24" t="n">
        <v>90.77</v>
      </c>
      <c r="J31" s="10"/>
      <c r="K31" s="10"/>
      <c r="L31" s="10"/>
      <c r="M31" s="10" t="n">
        <v>10</v>
      </c>
      <c r="N31" s="10" t="n">
        <v>1</v>
      </c>
      <c r="O31" s="10" t="s">
        <v>284</v>
      </c>
      <c r="P31" s="10" t="s">
        <v>256</v>
      </c>
      <c r="Q31" s="11" t="s">
        <v>103</v>
      </c>
      <c r="R31" s="10" t="s">
        <v>102</v>
      </c>
      <c r="S31" s="10" t="s">
        <v>219</v>
      </c>
      <c r="T31" s="25" t="n">
        <v>1</v>
      </c>
      <c r="U31" s="11" t="s">
        <v>48</v>
      </c>
      <c r="V31" s="10" t="s">
        <v>220</v>
      </c>
      <c r="W31" s="10" t="s">
        <v>102</v>
      </c>
      <c r="X31" s="10" t="s">
        <v>101</v>
      </c>
      <c r="Y31" s="10" t="s">
        <v>208</v>
      </c>
    </row>
    <row r="32" customFormat="false" ht="23.85" hidden="false" customHeight="false" outlineLevel="0" collapsed="false">
      <c r="A32" s="10" t="s">
        <v>261</v>
      </c>
      <c r="B32" s="10" t="s">
        <v>303</v>
      </c>
      <c r="C32" s="10" t="s">
        <v>304</v>
      </c>
      <c r="D32" s="10" t="n">
        <v>224</v>
      </c>
      <c r="E32" s="10" t="n">
        <v>28</v>
      </c>
      <c r="F32" s="11"/>
      <c r="G32" s="10" t="n">
        <v>14</v>
      </c>
      <c r="H32" s="10" t="n">
        <v>209</v>
      </c>
      <c r="I32" s="24" t="n">
        <v>78.95</v>
      </c>
      <c r="J32" s="10"/>
      <c r="K32" s="10"/>
      <c r="L32" s="10"/>
      <c r="M32" s="10" t="n">
        <v>8</v>
      </c>
      <c r="N32" s="10" t="n">
        <v>1</v>
      </c>
      <c r="O32" s="10" t="s">
        <v>243</v>
      </c>
      <c r="P32" s="10" t="s">
        <v>260</v>
      </c>
      <c r="Q32" s="11" t="s">
        <v>103</v>
      </c>
      <c r="R32" s="10" t="s">
        <v>102</v>
      </c>
      <c r="S32" s="10" t="s">
        <v>219</v>
      </c>
      <c r="T32" s="25" t="n">
        <v>1</v>
      </c>
      <c r="U32" s="11" t="s">
        <v>48</v>
      </c>
      <c r="V32" s="10" t="s">
        <v>220</v>
      </c>
      <c r="W32" s="10" t="s">
        <v>102</v>
      </c>
      <c r="X32" s="10" t="s">
        <v>101</v>
      </c>
      <c r="Y32" s="10" t="s">
        <v>208</v>
      </c>
    </row>
    <row r="33" customFormat="false" ht="23.85" hidden="false" customHeight="false" outlineLevel="0" collapsed="false">
      <c r="A33" s="10" t="s">
        <v>261</v>
      </c>
      <c r="B33" s="10" t="s">
        <v>305</v>
      </c>
      <c r="C33" s="10" t="s">
        <v>306</v>
      </c>
      <c r="D33" s="10" t="n">
        <v>196</v>
      </c>
      <c r="E33" s="10" t="n">
        <v>28</v>
      </c>
      <c r="F33" s="11"/>
      <c r="G33" s="10" t="n">
        <v>3</v>
      </c>
      <c r="H33" s="10" t="n">
        <v>193</v>
      </c>
      <c r="I33" s="24" t="n">
        <v>92.23</v>
      </c>
      <c r="J33" s="10"/>
      <c r="K33" s="10"/>
      <c r="L33" s="10"/>
      <c r="M33" s="10" t="n">
        <v>7</v>
      </c>
      <c r="N33" s="10" t="n">
        <v>1</v>
      </c>
      <c r="O33" s="10" t="s">
        <v>247</v>
      </c>
      <c r="P33" s="10" t="s">
        <v>248</v>
      </c>
      <c r="Q33" s="11" t="s">
        <v>103</v>
      </c>
      <c r="R33" s="10" t="s">
        <v>102</v>
      </c>
      <c r="S33" s="10" t="s">
        <v>219</v>
      </c>
      <c r="T33" s="25" t="n">
        <v>1</v>
      </c>
      <c r="U33" s="11" t="s">
        <v>48</v>
      </c>
      <c r="V33" s="10" t="s">
        <v>220</v>
      </c>
      <c r="W33" s="10" t="s">
        <v>102</v>
      </c>
      <c r="X33" s="10" t="s">
        <v>101</v>
      </c>
      <c r="Y33" s="10" t="s">
        <v>208</v>
      </c>
    </row>
    <row r="34" customFormat="false" ht="23.85" hidden="false" customHeight="false" outlineLevel="0" collapsed="false">
      <c r="A34" s="10" t="s">
        <v>261</v>
      </c>
      <c r="B34" s="10" t="s">
        <v>307</v>
      </c>
      <c r="C34" s="10" t="s">
        <v>308</v>
      </c>
      <c r="D34" s="10" t="n">
        <v>280</v>
      </c>
      <c r="E34" s="10" t="n">
        <v>28</v>
      </c>
      <c r="F34" s="11"/>
      <c r="G34" s="10" t="n">
        <v>8</v>
      </c>
      <c r="H34" s="10" t="n">
        <v>272</v>
      </c>
      <c r="I34" s="24" t="n">
        <v>90.44</v>
      </c>
      <c r="J34" s="10"/>
      <c r="K34" s="10"/>
      <c r="L34" s="10"/>
      <c r="M34" s="10" t="n">
        <v>10</v>
      </c>
      <c r="N34" s="10" t="n">
        <v>1</v>
      </c>
      <c r="O34" s="10" t="s">
        <v>284</v>
      </c>
      <c r="P34" s="10" t="s">
        <v>256</v>
      </c>
      <c r="Q34" s="11" t="s">
        <v>103</v>
      </c>
      <c r="R34" s="10" t="s">
        <v>102</v>
      </c>
      <c r="S34" s="10" t="s">
        <v>219</v>
      </c>
      <c r="T34" s="25" t="n">
        <v>1</v>
      </c>
      <c r="U34" s="11" t="s">
        <v>48</v>
      </c>
      <c r="V34" s="10" t="s">
        <v>220</v>
      </c>
      <c r="W34" s="10" t="s">
        <v>102</v>
      </c>
      <c r="X34" s="10" t="s">
        <v>101</v>
      </c>
      <c r="Y34" s="10" t="s">
        <v>208</v>
      </c>
    </row>
    <row r="35" customFormat="false" ht="23.85" hidden="false" customHeight="false" outlineLevel="0" collapsed="false">
      <c r="A35" s="10" t="s">
        <v>261</v>
      </c>
      <c r="B35" s="10" t="s">
        <v>309</v>
      </c>
      <c r="C35" s="10" t="s">
        <v>310</v>
      </c>
      <c r="D35" s="10" t="n">
        <v>224</v>
      </c>
      <c r="E35" s="10" t="n">
        <v>28</v>
      </c>
      <c r="F35" s="11"/>
      <c r="G35" s="10" t="n">
        <v>15</v>
      </c>
      <c r="H35" s="10" t="n">
        <v>209</v>
      </c>
      <c r="I35" s="24" t="n">
        <v>79.43</v>
      </c>
      <c r="J35" s="10"/>
      <c r="K35" s="10"/>
      <c r="L35" s="10"/>
      <c r="M35" s="10" t="n">
        <v>8</v>
      </c>
      <c r="N35" s="10" t="n">
        <v>1</v>
      </c>
      <c r="O35" s="10" t="s">
        <v>311</v>
      </c>
      <c r="P35" s="10" t="s">
        <v>260</v>
      </c>
      <c r="Q35" s="11" t="s">
        <v>103</v>
      </c>
      <c r="R35" s="10" t="s">
        <v>102</v>
      </c>
      <c r="S35" s="10" t="s">
        <v>219</v>
      </c>
      <c r="T35" s="25" t="n">
        <v>1</v>
      </c>
      <c r="U35" s="11" t="s">
        <v>48</v>
      </c>
      <c r="V35" s="10" t="s">
        <v>220</v>
      </c>
      <c r="W35" s="10" t="s">
        <v>102</v>
      </c>
      <c r="X35" s="10" t="s">
        <v>101</v>
      </c>
      <c r="Y35" s="10" t="s">
        <v>208</v>
      </c>
    </row>
    <row r="36" customFormat="false" ht="23.85" hidden="false" customHeight="false" outlineLevel="0" collapsed="false">
      <c r="A36" s="10" t="s">
        <v>261</v>
      </c>
      <c r="B36" s="10" t="s">
        <v>312</v>
      </c>
      <c r="C36" s="10" t="s">
        <v>313</v>
      </c>
      <c r="D36" s="10" t="n">
        <v>140</v>
      </c>
      <c r="E36" s="10" t="n">
        <v>28</v>
      </c>
      <c r="F36" s="11"/>
      <c r="G36" s="10" t="n">
        <v>58</v>
      </c>
      <c r="H36" s="10" t="n">
        <v>82</v>
      </c>
      <c r="I36" s="24" t="n">
        <v>75.61</v>
      </c>
      <c r="J36" s="10"/>
      <c r="K36" s="10"/>
      <c r="L36" s="10"/>
      <c r="M36" s="10" t="n">
        <v>5</v>
      </c>
      <c r="N36" s="10" t="n">
        <v>1</v>
      </c>
      <c r="O36" s="10" t="s">
        <v>295</v>
      </c>
      <c r="P36" s="10" t="s">
        <v>296</v>
      </c>
      <c r="Q36" s="11" t="s">
        <v>103</v>
      </c>
      <c r="R36" s="10" t="s">
        <v>102</v>
      </c>
      <c r="S36" s="10" t="s">
        <v>219</v>
      </c>
      <c r="T36" s="25" t="n">
        <v>1</v>
      </c>
      <c r="U36" s="11" t="s">
        <v>48</v>
      </c>
      <c r="V36" s="10" t="s">
        <v>220</v>
      </c>
      <c r="W36" s="10" t="s">
        <v>102</v>
      </c>
      <c r="X36" s="10" t="s">
        <v>101</v>
      </c>
      <c r="Y36" s="10" t="s">
        <v>208</v>
      </c>
    </row>
    <row r="37" customFormat="false" ht="23.85" hidden="false" customHeight="false" outlineLevel="0" collapsed="false">
      <c r="A37" s="10" t="s">
        <v>261</v>
      </c>
      <c r="B37" s="10" t="s">
        <v>314</v>
      </c>
      <c r="C37" s="10" t="s">
        <v>315</v>
      </c>
      <c r="D37" s="10" t="n">
        <v>280</v>
      </c>
      <c r="E37" s="10" t="n">
        <v>28</v>
      </c>
      <c r="F37" s="11"/>
      <c r="G37" s="10" t="n">
        <v>8</v>
      </c>
      <c r="H37" s="10" t="n">
        <v>272</v>
      </c>
      <c r="I37" s="24" t="n">
        <v>90.81</v>
      </c>
      <c r="J37" s="10"/>
      <c r="K37" s="10"/>
      <c r="L37" s="10"/>
      <c r="M37" s="10" t="n">
        <v>10</v>
      </c>
      <c r="N37" s="10" t="n">
        <v>1</v>
      </c>
      <c r="O37" s="10" t="s">
        <v>284</v>
      </c>
      <c r="P37" s="10" t="s">
        <v>256</v>
      </c>
      <c r="Q37" s="11" t="s">
        <v>103</v>
      </c>
      <c r="R37" s="10" t="s">
        <v>102</v>
      </c>
      <c r="S37" s="10" t="s">
        <v>219</v>
      </c>
      <c r="T37" s="25" t="n">
        <v>1</v>
      </c>
      <c r="U37" s="11" t="s">
        <v>48</v>
      </c>
      <c r="V37" s="10" t="s">
        <v>220</v>
      </c>
      <c r="W37" s="10" t="s">
        <v>102</v>
      </c>
      <c r="X37" s="10" t="s">
        <v>101</v>
      </c>
      <c r="Y37" s="10" t="s">
        <v>208</v>
      </c>
    </row>
    <row r="38" customFormat="false" ht="23.85" hidden="false" customHeight="false" outlineLevel="0" collapsed="false">
      <c r="A38" s="10" t="s">
        <v>261</v>
      </c>
      <c r="B38" s="10" t="s">
        <v>316</v>
      </c>
      <c r="C38" s="10" t="s">
        <v>317</v>
      </c>
      <c r="D38" s="10" t="n">
        <v>224</v>
      </c>
      <c r="E38" s="10" t="n">
        <v>28</v>
      </c>
      <c r="F38" s="11"/>
      <c r="G38" s="10" t="n">
        <v>13</v>
      </c>
      <c r="H38" s="10" t="n">
        <v>211</v>
      </c>
      <c r="I38" s="24" t="n">
        <v>80.57</v>
      </c>
      <c r="J38" s="10"/>
      <c r="K38" s="10"/>
      <c r="L38" s="10"/>
      <c r="M38" s="10" t="n">
        <v>8</v>
      </c>
      <c r="N38" s="10" t="n">
        <v>1</v>
      </c>
      <c r="O38" s="10" t="s">
        <v>311</v>
      </c>
      <c r="P38" s="10" t="s">
        <v>260</v>
      </c>
      <c r="Q38" s="11" t="s">
        <v>103</v>
      </c>
      <c r="R38" s="10" t="s">
        <v>102</v>
      </c>
      <c r="S38" s="10" t="s">
        <v>219</v>
      </c>
      <c r="T38" s="25" t="n">
        <v>1</v>
      </c>
      <c r="U38" s="11" t="s">
        <v>48</v>
      </c>
      <c r="V38" s="10" t="s">
        <v>220</v>
      </c>
      <c r="W38" s="10" t="s">
        <v>102</v>
      </c>
      <c r="X38" s="10" t="s">
        <v>101</v>
      </c>
      <c r="Y38" s="10" t="s">
        <v>208</v>
      </c>
    </row>
    <row r="39" customFormat="false" ht="23.85" hidden="false" customHeight="false" outlineLevel="0" collapsed="false">
      <c r="A39" s="10" t="s">
        <v>261</v>
      </c>
      <c r="B39" s="10" t="s">
        <v>318</v>
      </c>
      <c r="C39" s="10" t="s">
        <v>319</v>
      </c>
      <c r="D39" s="10" t="n">
        <v>140</v>
      </c>
      <c r="E39" s="10" t="n">
        <v>28</v>
      </c>
      <c r="F39" s="11"/>
      <c r="G39" s="10" t="n">
        <v>58</v>
      </c>
      <c r="H39" s="10" t="n">
        <v>82</v>
      </c>
      <c r="I39" s="24" t="n">
        <v>74.39</v>
      </c>
      <c r="J39" s="10"/>
      <c r="K39" s="10"/>
      <c r="L39" s="10"/>
      <c r="M39" s="10" t="n">
        <v>5</v>
      </c>
      <c r="N39" s="10" t="n">
        <v>1</v>
      </c>
      <c r="O39" s="10" t="s">
        <v>295</v>
      </c>
      <c r="P39" s="10" t="s">
        <v>296</v>
      </c>
      <c r="Q39" s="11" t="s">
        <v>103</v>
      </c>
      <c r="R39" s="10" t="s">
        <v>102</v>
      </c>
      <c r="S39" s="10" t="s">
        <v>219</v>
      </c>
      <c r="T39" s="25" t="n">
        <v>1</v>
      </c>
      <c r="U39" s="11" t="s">
        <v>48</v>
      </c>
      <c r="V39" s="10" t="s">
        <v>220</v>
      </c>
      <c r="W39" s="10" t="s">
        <v>102</v>
      </c>
      <c r="X39" s="10" t="s">
        <v>101</v>
      </c>
      <c r="Y39" s="10" t="s">
        <v>208</v>
      </c>
    </row>
    <row r="40" customFormat="false" ht="23.85" hidden="false" customHeight="false" outlineLevel="0" collapsed="false">
      <c r="A40" s="10" t="s">
        <v>261</v>
      </c>
      <c r="B40" s="10" t="s">
        <v>320</v>
      </c>
      <c r="C40" s="10" t="s">
        <v>321</v>
      </c>
      <c r="D40" s="10" t="n">
        <v>140</v>
      </c>
      <c r="E40" s="10" t="n">
        <v>28</v>
      </c>
      <c r="F40" s="11"/>
      <c r="G40" s="10" t="n">
        <v>59</v>
      </c>
      <c r="H40" s="10" t="n">
        <v>81</v>
      </c>
      <c r="I40" s="24" t="n">
        <v>74.07</v>
      </c>
      <c r="J40" s="10"/>
      <c r="K40" s="10"/>
      <c r="L40" s="10"/>
      <c r="M40" s="10" t="n">
        <v>5</v>
      </c>
      <c r="N40" s="10" t="n">
        <v>1</v>
      </c>
      <c r="O40" s="10" t="s">
        <v>295</v>
      </c>
      <c r="P40" s="10" t="s">
        <v>296</v>
      </c>
      <c r="Q40" s="11" t="s">
        <v>103</v>
      </c>
      <c r="R40" s="10" t="s">
        <v>102</v>
      </c>
      <c r="S40" s="10" t="s">
        <v>219</v>
      </c>
      <c r="T40" s="25" t="n">
        <v>1</v>
      </c>
      <c r="U40" s="11" t="s">
        <v>48</v>
      </c>
      <c r="V40" s="10" t="s">
        <v>220</v>
      </c>
      <c r="W40" s="10" t="s">
        <v>102</v>
      </c>
      <c r="X40" s="10" t="s">
        <v>101</v>
      </c>
      <c r="Y40" s="10" t="s">
        <v>208</v>
      </c>
    </row>
    <row r="41" customFormat="false" ht="15" hidden="false" customHeight="false" outlineLevel="0" collapsed="false">
      <c r="A41" s="19" t="s">
        <v>322</v>
      </c>
      <c r="B41" s="19" t="s">
        <v>323</v>
      </c>
      <c r="C41" s="19" t="s">
        <v>324</v>
      </c>
      <c r="D41" s="19" t="n">
        <v>1</v>
      </c>
      <c r="E41" s="19" t="n">
        <v>1</v>
      </c>
      <c r="F41" s="20"/>
      <c r="G41" s="19" t="n">
        <v>0</v>
      </c>
      <c r="H41" s="19" t="n">
        <v>1</v>
      </c>
      <c r="I41" s="26" t="n">
        <v>0</v>
      </c>
      <c r="J41" s="19"/>
      <c r="K41" s="19"/>
      <c r="L41" s="19"/>
      <c r="M41" s="19" t="n">
        <v>1</v>
      </c>
      <c r="N41" s="19" t="n">
        <v>1</v>
      </c>
      <c r="O41" s="19" t="s">
        <v>325</v>
      </c>
      <c r="P41" s="19" t="s">
        <v>326</v>
      </c>
      <c r="Q41" s="20" t="s">
        <v>144</v>
      </c>
      <c r="R41" s="19" t="s">
        <v>143</v>
      </c>
      <c r="S41" s="19" t="s">
        <v>327</v>
      </c>
      <c r="T41" s="27" t="n">
        <v>0</v>
      </c>
      <c r="U41" s="20" t="s">
        <v>136</v>
      </c>
      <c r="V41" s="17" t="s">
        <v>328</v>
      </c>
      <c r="W41" s="19" t="s">
        <v>102</v>
      </c>
      <c r="X41" s="19" t="s">
        <v>101</v>
      </c>
      <c r="Y41" s="19" t="s">
        <v>208</v>
      </c>
    </row>
    <row r="42" customFormat="false" ht="23.85" hidden="false" customHeight="false" outlineLevel="0" collapsed="false">
      <c r="A42" s="10" t="s">
        <v>322</v>
      </c>
      <c r="B42" s="10" t="s">
        <v>329</v>
      </c>
      <c r="C42" s="10" t="s">
        <v>330</v>
      </c>
      <c r="D42" s="10" t="n">
        <v>28</v>
      </c>
      <c r="E42" s="10" t="n">
        <v>28</v>
      </c>
      <c r="F42" s="11"/>
      <c r="G42" s="10" t="n">
        <v>0</v>
      </c>
      <c r="H42" s="10" t="n">
        <v>28</v>
      </c>
      <c r="I42" s="24" t="n">
        <v>78.57</v>
      </c>
      <c r="J42" s="10"/>
      <c r="K42" s="10"/>
      <c r="L42" s="10"/>
      <c r="M42" s="10" t="n">
        <v>1</v>
      </c>
      <c r="N42" s="10" t="n">
        <v>1</v>
      </c>
      <c r="O42" s="10" t="s">
        <v>325</v>
      </c>
      <c r="P42" s="10" t="s">
        <v>233</v>
      </c>
      <c r="Q42" s="11" t="s">
        <v>103</v>
      </c>
      <c r="R42" s="10" t="s">
        <v>102</v>
      </c>
      <c r="S42" s="10" t="s">
        <v>219</v>
      </c>
      <c r="T42" s="25" t="n">
        <v>1</v>
      </c>
      <c r="U42" s="11" t="s">
        <v>48</v>
      </c>
      <c r="V42" s="10" t="s">
        <v>220</v>
      </c>
      <c r="W42" s="10" t="s">
        <v>102</v>
      </c>
      <c r="X42" s="10" t="s">
        <v>101</v>
      </c>
      <c r="Y42" s="10" t="s">
        <v>208</v>
      </c>
    </row>
    <row r="43" customFormat="false" ht="23.85" hidden="false" customHeight="false" outlineLevel="0" collapsed="false">
      <c r="A43" s="10" t="s">
        <v>322</v>
      </c>
      <c r="B43" s="10" t="s">
        <v>331</v>
      </c>
      <c r="C43" s="10" t="s">
        <v>332</v>
      </c>
      <c r="D43" s="10" t="n">
        <v>20</v>
      </c>
      <c r="E43" s="10" t="n">
        <v>20</v>
      </c>
      <c r="F43" s="11"/>
      <c r="G43" s="10" t="n">
        <v>0</v>
      </c>
      <c r="H43" s="10" t="n">
        <v>20</v>
      </c>
      <c r="I43" s="24" t="n">
        <v>70</v>
      </c>
      <c r="J43" s="10"/>
      <c r="K43" s="10"/>
      <c r="L43" s="10"/>
      <c r="M43" s="10" t="n">
        <v>1</v>
      </c>
      <c r="N43" s="10" t="n">
        <v>1</v>
      </c>
      <c r="O43" s="10" t="s">
        <v>325</v>
      </c>
      <c r="P43" s="10" t="s">
        <v>333</v>
      </c>
      <c r="Q43" s="11" t="s">
        <v>103</v>
      </c>
      <c r="R43" s="10" t="s">
        <v>102</v>
      </c>
      <c r="S43" s="10" t="s">
        <v>334</v>
      </c>
      <c r="T43" s="25" t="n">
        <v>1</v>
      </c>
      <c r="U43" s="11" t="s">
        <v>48</v>
      </c>
      <c r="V43" s="10" t="s">
        <v>220</v>
      </c>
      <c r="W43" s="10" t="s">
        <v>102</v>
      </c>
      <c r="X43" s="10" t="s">
        <v>101</v>
      </c>
      <c r="Y43" s="10" t="s">
        <v>208</v>
      </c>
    </row>
    <row r="44" customFormat="false" ht="23.85" hidden="false" customHeight="false" outlineLevel="0" collapsed="false">
      <c r="A44" s="10" t="s">
        <v>322</v>
      </c>
      <c r="B44" s="10" t="s">
        <v>335</v>
      </c>
      <c r="C44" s="10" t="s">
        <v>336</v>
      </c>
      <c r="D44" s="10" t="n">
        <v>28</v>
      </c>
      <c r="E44" s="10" t="n">
        <v>28</v>
      </c>
      <c r="F44" s="11"/>
      <c r="G44" s="10" t="n">
        <v>0</v>
      </c>
      <c r="H44" s="10" t="n">
        <v>28</v>
      </c>
      <c r="I44" s="24" t="n">
        <v>78.57</v>
      </c>
      <c r="J44" s="10"/>
      <c r="K44" s="10"/>
      <c r="L44" s="10"/>
      <c r="M44" s="10" t="n">
        <v>1</v>
      </c>
      <c r="N44" s="10" t="n">
        <v>1</v>
      </c>
      <c r="O44" s="10" t="s">
        <v>325</v>
      </c>
      <c r="P44" s="10" t="s">
        <v>233</v>
      </c>
      <c r="Q44" s="11" t="s">
        <v>103</v>
      </c>
      <c r="R44" s="10" t="s">
        <v>102</v>
      </c>
      <c r="S44" s="10" t="s">
        <v>219</v>
      </c>
      <c r="T44" s="25" t="n">
        <v>1</v>
      </c>
      <c r="U44" s="11" t="s">
        <v>48</v>
      </c>
      <c r="V44" s="10" t="s">
        <v>220</v>
      </c>
      <c r="W44" s="10" t="s">
        <v>102</v>
      </c>
      <c r="X44" s="10" t="s">
        <v>101</v>
      </c>
      <c r="Y44" s="10" t="s">
        <v>208</v>
      </c>
    </row>
    <row r="45" customFormat="false" ht="23.85" hidden="false" customHeight="false" outlineLevel="0" collapsed="false">
      <c r="A45" s="10" t="s">
        <v>337</v>
      </c>
      <c r="B45" s="10" t="s">
        <v>338</v>
      </c>
      <c r="C45" s="10" t="s">
        <v>339</v>
      </c>
      <c r="D45" s="10" t="n">
        <v>8</v>
      </c>
      <c r="E45" s="10" t="n">
        <v>8</v>
      </c>
      <c r="F45" s="11"/>
      <c r="G45" s="10" t="n">
        <v>0</v>
      </c>
      <c r="H45" s="10" t="n">
        <v>8</v>
      </c>
      <c r="I45" s="24" t="n">
        <v>100</v>
      </c>
      <c r="J45" s="10"/>
      <c r="K45" s="10"/>
      <c r="L45" s="10"/>
      <c r="M45" s="10" t="n">
        <v>1</v>
      </c>
      <c r="N45" s="10" t="n">
        <v>1</v>
      </c>
      <c r="O45" s="10" t="s">
        <v>340</v>
      </c>
      <c r="P45" s="10" t="s">
        <v>341</v>
      </c>
      <c r="Q45" s="11" t="s">
        <v>123</v>
      </c>
      <c r="R45" s="10" t="s">
        <v>122</v>
      </c>
      <c r="S45" s="10" t="s">
        <v>342</v>
      </c>
      <c r="T45" s="25" t="n">
        <v>1</v>
      </c>
      <c r="U45" s="11" t="s">
        <v>48</v>
      </c>
      <c r="V45" s="10" t="s">
        <v>220</v>
      </c>
      <c r="W45" s="10" t="s">
        <v>102</v>
      </c>
      <c r="X45" s="10" t="s">
        <v>101</v>
      </c>
      <c r="Y45" s="10" t="s">
        <v>208</v>
      </c>
    </row>
    <row r="46" customFormat="false" ht="35.05" hidden="false" customHeight="false" outlineLevel="0" collapsed="false">
      <c r="A46" s="10" t="s">
        <v>337</v>
      </c>
      <c r="B46" s="10" t="s">
        <v>343</v>
      </c>
      <c r="C46" s="10" t="s">
        <v>344</v>
      </c>
      <c r="D46" s="10" t="n">
        <v>448</v>
      </c>
      <c r="E46" s="10" t="n">
        <v>28</v>
      </c>
      <c r="F46" s="11"/>
      <c r="G46" s="10" t="n">
        <v>0</v>
      </c>
      <c r="H46" s="10" t="n">
        <v>448</v>
      </c>
      <c r="I46" s="24" t="n">
        <v>86.38</v>
      </c>
      <c r="J46" s="10"/>
      <c r="K46" s="10"/>
      <c r="L46" s="10"/>
      <c r="M46" s="10" t="n">
        <v>16</v>
      </c>
      <c r="N46" s="10" t="n">
        <v>1</v>
      </c>
      <c r="O46" s="10" t="s">
        <v>345</v>
      </c>
      <c r="P46" s="10" t="s">
        <v>346</v>
      </c>
      <c r="Q46" s="11" t="s">
        <v>112</v>
      </c>
      <c r="R46" s="10" t="s">
        <v>111</v>
      </c>
      <c r="S46" s="10" t="s">
        <v>347</v>
      </c>
      <c r="T46" s="25" t="n">
        <v>1</v>
      </c>
      <c r="U46" s="11" t="s">
        <v>48</v>
      </c>
      <c r="V46" s="10" t="s">
        <v>220</v>
      </c>
      <c r="W46" s="10" t="s">
        <v>102</v>
      </c>
      <c r="X46" s="10" t="s">
        <v>101</v>
      </c>
      <c r="Y46" s="10" t="s">
        <v>208</v>
      </c>
    </row>
    <row r="47" customFormat="false" ht="23.85" hidden="false" customHeight="false" outlineLevel="0" collapsed="false">
      <c r="A47" s="10" t="s">
        <v>337</v>
      </c>
      <c r="B47" s="10" t="s">
        <v>348</v>
      </c>
      <c r="C47" s="10" t="s">
        <v>349</v>
      </c>
      <c r="D47" s="10" t="n">
        <v>28</v>
      </c>
      <c r="E47" s="10" t="n">
        <v>28</v>
      </c>
      <c r="F47" s="11"/>
      <c r="G47" s="10" t="n">
        <v>0</v>
      </c>
      <c r="H47" s="10" t="n">
        <v>28</v>
      </c>
      <c r="I47" s="24" t="n">
        <v>96.43</v>
      </c>
      <c r="J47" s="10"/>
      <c r="K47" s="10"/>
      <c r="L47" s="10"/>
      <c r="M47" s="10" t="n">
        <v>1</v>
      </c>
      <c r="N47" s="10" t="n">
        <v>1</v>
      </c>
      <c r="O47" s="10" t="s">
        <v>232</v>
      </c>
      <c r="P47" s="10" t="s">
        <v>233</v>
      </c>
      <c r="Q47" s="11" t="s">
        <v>112</v>
      </c>
      <c r="R47" s="10" t="s">
        <v>111</v>
      </c>
      <c r="S47" s="10" t="s">
        <v>347</v>
      </c>
      <c r="T47" s="25" t="n">
        <v>1</v>
      </c>
      <c r="U47" s="11" t="s">
        <v>48</v>
      </c>
      <c r="V47" s="10" t="s">
        <v>220</v>
      </c>
      <c r="W47" s="10" t="s">
        <v>102</v>
      </c>
      <c r="X47" s="10" t="s">
        <v>101</v>
      </c>
      <c r="Y47" s="10" t="s">
        <v>208</v>
      </c>
    </row>
    <row r="48" customFormat="false" ht="23.85" hidden="false" customHeight="false" outlineLevel="0" collapsed="false">
      <c r="A48" s="10" t="s">
        <v>337</v>
      </c>
      <c r="B48" s="10" t="s">
        <v>350</v>
      </c>
      <c r="C48" s="10" t="s">
        <v>351</v>
      </c>
      <c r="D48" s="10" t="n">
        <v>28</v>
      </c>
      <c r="E48" s="10" t="n">
        <v>28</v>
      </c>
      <c r="F48" s="11"/>
      <c r="G48" s="10" t="n">
        <v>0</v>
      </c>
      <c r="H48" s="10" t="n">
        <v>28</v>
      </c>
      <c r="I48" s="24" t="n">
        <v>89.29</v>
      </c>
      <c r="J48" s="10"/>
      <c r="K48" s="10"/>
      <c r="L48" s="10"/>
      <c r="M48" s="10" t="n">
        <v>1</v>
      </c>
      <c r="N48" s="10" t="n">
        <v>1</v>
      </c>
      <c r="O48" s="10" t="s">
        <v>232</v>
      </c>
      <c r="P48" s="10" t="s">
        <v>233</v>
      </c>
      <c r="Q48" s="11" t="s">
        <v>112</v>
      </c>
      <c r="R48" s="10" t="s">
        <v>111</v>
      </c>
      <c r="S48" s="10" t="s">
        <v>347</v>
      </c>
      <c r="T48" s="25" t="n">
        <v>1</v>
      </c>
      <c r="U48" s="11" t="s">
        <v>48</v>
      </c>
      <c r="V48" s="10" t="s">
        <v>220</v>
      </c>
      <c r="W48" s="10" t="s">
        <v>102</v>
      </c>
      <c r="X48" s="10" t="s">
        <v>101</v>
      </c>
      <c r="Y48" s="10" t="s">
        <v>208</v>
      </c>
    </row>
    <row r="49" customFormat="false" ht="23.85" hidden="false" customHeight="false" outlineLevel="0" collapsed="false">
      <c r="A49" s="10" t="s">
        <v>337</v>
      </c>
      <c r="B49" s="10" t="s">
        <v>352</v>
      </c>
      <c r="C49" s="10" t="s">
        <v>353</v>
      </c>
      <c r="D49" s="10" t="n">
        <v>28</v>
      </c>
      <c r="E49" s="10" t="n">
        <v>28</v>
      </c>
      <c r="F49" s="11"/>
      <c r="G49" s="10" t="n">
        <v>0</v>
      </c>
      <c r="H49" s="10" t="n">
        <v>28</v>
      </c>
      <c r="I49" s="24" t="n">
        <v>96.43</v>
      </c>
      <c r="J49" s="10"/>
      <c r="K49" s="10"/>
      <c r="L49" s="10"/>
      <c r="M49" s="10" t="n">
        <v>1</v>
      </c>
      <c r="N49" s="10" t="n">
        <v>1</v>
      </c>
      <c r="O49" s="10" t="s">
        <v>232</v>
      </c>
      <c r="P49" s="10" t="s">
        <v>233</v>
      </c>
      <c r="Q49" s="11" t="s">
        <v>112</v>
      </c>
      <c r="R49" s="10" t="s">
        <v>111</v>
      </c>
      <c r="S49" s="10" t="s">
        <v>347</v>
      </c>
      <c r="T49" s="25" t="n">
        <v>1</v>
      </c>
      <c r="U49" s="11" t="s">
        <v>48</v>
      </c>
      <c r="V49" s="10" t="s">
        <v>220</v>
      </c>
      <c r="W49" s="10" t="s">
        <v>102</v>
      </c>
      <c r="X49" s="10" t="s">
        <v>101</v>
      </c>
      <c r="Y49" s="10" t="s">
        <v>208</v>
      </c>
    </row>
    <row r="50" customFormat="false" ht="35.05" hidden="false" customHeight="false" outlineLevel="0" collapsed="false">
      <c r="A50" s="10" t="s">
        <v>354</v>
      </c>
      <c r="B50" s="10" t="s">
        <v>355</v>
      </c>
      <c r="C50" s="10" t="s">
        <v>356</v>
      </c>
      <c r="D50" s="10" t="n">
        <v>85</v>
      </c>
      <c r="E50" s="10" t="n">
        <v>28</v>
      </c>
      <c r="F50" s="11"/>
      <c r="G50" s="10" t="n">
        <v>4</v>
      </c>
      <c r="H50" s="10" t="n">
        <v>81</v>
      </c>
      <c r="I50" s="24" t="n">
        <v>92.59</v>
      </c>
      <c r="J50" s="10"/>
      <c r="K50" s="10"/>
      <c r="L50" s="10"/>
      <c r="M50" s="10" t="n">
        <v>4</v>
      </c>
      <c r="N50" s="10" t="n">
        <v>2</v>
      </c>
      <c r="O50" s="10" t="s">
        <v>357</v>
      </c>
      <c r="P50" s="10" t="s">
        <v>358</v>
      </c>
      <c r="Q50" s="11" t="s">
        <v>112</v>
      </c>
      <c r="R50" s="10" t="s">
        <v>111</v>
      </c>
      <c r="S50" s="10" t="s">
        <v>347</v>
      </c>
      <c r="T50" s="25" t="n">
        <v>1</v>
      </c>
      <c r="U50" s="11" t="s">
        <v>48</v>
      </c>
      <c r="V50" s="10" t="s">
        <v>220</v>
      </c>
      <c r="W50" s="10" t="s">
        <v>102</v>
      </c>
      <c r="X50" s="10" t="s">
        <v>101</v>
      </c>
      <c r="Y50" s="10" t="s">
        <v>208</v>
      </c>
    </row>
    <row r="51" customFormat="false" ht="23.85" hidden="false" customHeight="false" outlineLevel="0" collapsed="false">
      <c r="A51" s="10" t="s">
        <v>359</v>
      </c>
      <c r="B51" s="10" t="s">
        <v>360</v>
      </c>
      <c r="C51" s="10" t="s">
        <v>361</v>
      </c>
      <c r="D51" s="10" t="n">
        <v>13</v>
      </c>
      <c r="E51" s="10" t="n">
        <v>13</v>
      </c>
      <c r="F51" s="11"/>
      <c r="G51" s="10" t="n">
        <v>6</v>
      </c>
      <c r="H51" s="10" t="n">
        <v>7</v>
      </c>
      <c r="I51" s="24" t="n">
        <v>100</v>
      </c>
      <c r="J51" s="10"/>
      <c r="K51" s="10"/>
      <c r="L51" s="10"/>
      <c r="M51" s="10" t="n">
        <v>1</v>
      </c>
      <c r="N51" s="10" t="n">
        <v>1</v>
      </c>
      <c r="O51" s="10" t="s">
        <v>362</v>
      </c>
      <c r="P51" s="10" t="s">
        <v>363</v>
      </c>
      <c r="Q51" s="11" t="s">
        <v>123</v>
      </c>
      <c r="R51" s="10" t="s">
        <v>122</v>
      </c>
      <c r="S51" s="10" t="s">
        <v>364</v>
      </c>
      <c r="T51" s="25" t="n">
        <v>1</v>
      </c>
      <c r="U51" s="11" t="s">
        <v>48</v>
      </c>
      <c r="V51" s="10" t="s">
        <v>220</v>
      </c>
      <c r="W51" s="10" t="s">
        <v>102</v>
      </c>
      <c r="X51" s="10" t="s">
        <v>101</v>
      </c>
      <c r="Y51" s="10" t="s">
        <v>208</v>
      </c>
    </row>
    <row r="52" customFormat="false" ht="23.85" hidden="false" customHeight="false" outlineLevel="0" collapsed="false">
      <c r="A52" s="10" t="s">
        <v>359</v>
      </c>
      <c r="B52" s="10" t="s">
        <v>365</v>
      </c>
      <c r="C52" s="10" t="s">
        <v>366</v>
      </c>
      <c r="D52" s="10" t="n">
        <v>84</v>
      </c>
      <c r="E52" s="10" t="n">
        <v>28</v>
      </c>
      <c r="F52" s="11"/>
      <c r="G52" s="10" t="n">
        <v>30</v>
      </c>
      <c r="H52" s="10" t="n">
        <v>53</v>
      </c>
      <c r="I52" s="24" t="n">
        <v>98.11</v>
      </c>
      <c r="J52" s="10"/>
      <c r="K52" s="10"/>
      <c r="L52" s="10"/>
      <c r="M52" s="10" t="n">
        <v>3</v>
      </c>
      <c r="N52" s="10" t="n">
        <v>1</v>
      </c>
      <c r="O52" s="10" t="s">
        <v>367</v>
      </c>
      <c r="P52" s="10" t="s">
        <v>368</v>
      </c>
      <c r="Q52" s="11" t="s">
        <v>112</v>
      </c>
      <c r="R52" s="10" t="s">
        <v>111</v>
      </c>
      <c r="S52" s="10" t="s">
        <v>347</v>
      </c>
      <c r="T52" s="25" t="n">
        <v>1</v>
      </c>
      <c r="U52" s="11" t="s">
        <v>48</v>
      </c>
      <c r="V52" s="10" t="s">
        <v>220</v>
      </c>
      <c r="W52" s="10" t="s">
        <v>102</v>
      </c>
      <c r="X52" s="10" t="s">
        <v>101</v>
      </c>
      <c r="Y52" s="10" t="s">
        <v>208</v>
      </c>
    </row>
    <row r="53" customFormat="false" ht="23.85" hidden="false" customHeight="false" outlineLevel="0" collapsed="false">
      <c r="A53" s="10" t="s">
        <v>369</v>
      </c>
      <c r="B53" s="10" t="s">
        <v>370</v>
      </c>
      <c r="C53" s="10" t="s">
        <v>371</v>
      </c>
      <c r="D53" s="10" t="n">
        <v>28</v>
      </c>
      <c r="E53" s="10" t="n">
        <v>28</v>
      </c>
      <c r="F53" s="11"/>
      <c r="G53" s="10" t="n">
        <v>0</v>
      </c>
      <c r="H53" s="10" t="n">
        <v>28</v>
      </c>
      <c r="I53" s="24" t="n">
        <v>75</v>
      </c>
      <c r="J53" s="10"/>
      <c r="K53" s="10"/>
      <c r="L53" s="10"/>
      <c r="M53" s="10" t="n">
        <v>1</v>
      </c>
      <c r="N53" s="10" t="n">
        <v>1</v>
      </c>
      <c r="O53" s="10" t="s">
        <v>325</v>
      </c>
      <c r="P53" s="10" t="s">
        <v>233</v>
      </c>
      <c r="Q53" s="11" t="s">
        <v>112</v>
      </c>
      <c r="R53" s="10" t="s">
        <v>111</v>
      </c>
      <c r="S53" s="10" t="s">
        <v>347</v>
      </c>
      <c r="T53" s="25" t="n">
        <v>1</v>
      </c>
      <c r="U53" s="11" t="s">
        <v>48</v>
      </c>
      <c r="V53" s="10" t="s">
        <v>220</v>
      </c>
      <c r="W53" s="10" t="s">
        <v>111</v>
      </c>
      <c r="X53" s="10" t="s">
        <v>107</v>
      </c>
      <c r="Y53" s="10" t="s">
        <v>208</v>
      </c>
    </row>
    <row r="54" customFormat="false" ht="23.85" hidden="false" customHeight="false" outlineLevel="0" collapsed="false">
      <c r="A54" s="10" t="s">
        <v>369</v>
      </c>
      <c r="B54" s="10" t="s">
        <v>372</v>
      </c>
      <c r="C54" s="10" t="s">
        <v>373</v>
      </c>
      <c r="D54" s="10" t="n">
        <v>21</v>
      </c>
      <c r="E54" s="10" t="n">
        <v>21</v>
      </c>
      <c r="F54" s="11"/>
      <c r="G54" s="10" t="n">
        <v>0</v>
      </c>
      <c r="H54" s="10" t="n">
        <v>21</v>
      </c>
      <c r="I54" s="24" t="n">
        <v>71.43</v>
      </c>
      <c r="J54" s="10"/>
      <c r="K54" s="10"/>
      <c r="L54" s="10"/>
      <c r="M54" s="10" t="n">
        <v>1</v>
      </c>
      <c r="N54" s="10" t="n">
        <v>1</v>
      </c>
      <c r="O54" s="10" t="s">
        <v>325</v>
      </c>
      <c r="P54" s="10" t="s">
        <v>374</v>
      </c>
      <c r="Q54" s="11" t="s">
        <v>112</v>
      </c>
      <c r="R54" s="10" t="s">
        <v>111</v>
      </c>
      <c r="S54" s="10" t="s">
        <v>375</v>
      </c>
      <c r="T54" s="25" t="n">
        <v>1</v>
      </c>
      <c r="U54" s="11" t="s">
        <v>48</v>
      </c>
      <c r="V54" s="10" t="s">
        <v>220</v>
      </c>
      <c r="W54" s="10" t="s">
        <v>111</v>
      </c>
      <c r="X54" s="10" t="s">
        <v>107</v>
      </c>
      <c r="Y54" s="10" t="s">
        <v>208</v>
      </c>
    </row>
    <row r="55" customFormat="false" ht="23.85" hidden="false" customHeight="false" outlineLevel="0" collapsed="false">
      <c r="A55" s="10" t="s">
        <v>369</v>
      </c>
      <c r="B55" s="10" t="s">
        <v>376</v>
      </c>
      <c r="C55" s="10" t="s">
        <v>377</v>
      </c>
      <c r="D55" s="10" t="n">
        <v>28</v>
      </c>
      <c r="E55" s="10" t="n">
        <v>28</v>
      </c>
      <c r="F55" s="11"/>
      <c r="G55" s="10" t="n">
        <v>0</v>
      </c>
      <c r="H55" s="10" t="n">
        <v>28</v>
      </c>
      <c r="I55" s="24" t="n">
        <v>71.43</v>
      </c>
      <c r="J55" s="10"/>
      <c r="K55" s="10"/>
      <c r="L55" s="10"/>
      <c r="M55" s="10" t="n">
        <v>1</v>
      </c>
      <c r="N55" s="10" t="n">
        <v>1</v>
      </c>
      <c r="O55" s="10" t="s">
        <v>325</v>
      </c>
      <c r="P55" s="10" t="s">
        <v>233</v>
      </c>
      <c r="Q55" s="11" t="s">
        <v>112</v>
      </c>
      <c r="R55" s="10" t="s">
        <v>111</v>
      </c>
      <c r="S55" s="10" t="s">
        <v>347</v>
      </c>
      <c r="T55" s="25" t="n">
        <v>1</v>
      </c>
      <c r="U55" s="11" t="s">
        <v>48</v>
      </c>
      <c r="V55" s="10" t="s">
        <v>220</v>
      </c>
      <c r="W55" s="10" t="s">
        <v>111</v>
      </c>
      <c r="X55" s="10" t="s">
        <v>107</v>
      </c>
      <c r="Y55" s="10" t="s">
        <v>208</v>
      </c>
    </row>
    <row r="56" customFormat="false" ht="23.85" hidden="false" customHeight="false" outlineLevel="0" collapsed="false">
      <c r="A56" s="10" t="s">
        <v>369</v>
      </c>
      <c r="B56" s="10" t="s">
        <v>378</v>
      </c>
      <c r="C56" s="10" t="s">
        <v>379</v>
      </c>
      <c r="D56" s="10" t="n">
        <v>28</v>
      </c>
      <c r="E56" s="10" t="n">
        <v>28</v>
      </c>
      <c r="F56" s="11"/>
      <c r="G56" s="10" t="n">
        <v>0</v>
      </c>
      <c r="H56" s="10" t="n">
        <v>28</v>
      </c>
      <c r="I56" s="24" t="n">
        <v>78.57</v>
      </c>
      <c r="J56" s="10"/>
      <c r="K56" s="10"/>
      <c r="L56" s="10"/>
      <c r="M56" s="10" t="n">
        <v>1</v>
      </c>
      <c r="N56" s="10" t="n">
        <v>1</v>
      </c>
      <c r="O56" s="10" t="s">
        <v>325</v>
      </c>
      <c r="P56" s="10" t="s">
        <v>233</v>
      </c>
      <c r="Q56" s="11" t="s">
        <v>112</v>
      </c>
      <c r="R56" s="10" t="s">
        <v>111</v>
      </c>
      <c r="S56" s="10" t="s">
        <v>347</v>
      </c>
      <c r="T56" s="25" t="n">
        <v>1</v>
      </c>
      <c r="U56" s="11" t="s">
        <v>48</v>
      </c>
      <c r="V56" s="10" t="s">
        <v>220</v>
      </c>
      <c r="W56" s="10" t="s">
        <v>111</v>
      </c>
      <c r="X56" s="10" t="s">
        <v>107</v>
      </c>
      <c r="Y56" s="10" t="s">
        <v>208</v>
      </c>
    </row>
    <row r="57" customFormat="false" ht="23.85" hidden="false" customHeight="false" outlineLevel="0" collapsed="false">
      <c r="A57" s="10" t="s">
        <v>369</v>
      </c>
      <c r="B57" s="10" t="s">
        <v>380</v>
      </c>
      <c r="C57" s="10" t="s">
        <v>381</v>
      </c>
      <c r="D57" s="10" t="n">
        <v>28</v>
      </c>
      <c r="E57" s="10" t="n">
        <v>28</v>
      </c>
      <c r="F57" s="11"/>
      <c r="G57" s="10" t="n">
        <v>0</v>
      </c>
      <c r="H57" s="10" t="n">
        <v>28</v>
      </c>
      <c r="I57" s="24" t="n">
        <v>78.57</v>
      </c>
      <c r="J57" s="10"/>
      <c r="K57" s="10"/>
      <c r="L57" s="10"/>
      <c r="M57" s="10" t="n">
        <v>1</v>
      </c>
      <c r="N57" s="10" t="n">
        <v>1</v>
      </c>
      <c r="O57" s="10" t="s">
        <v>325</v>
      </c>
      <c r="P57" s="10" t="s">
        <v>233</v>
      </c>
      <c r="Q57" s="11" t="s">
        <v>112</v>
      </c>
      <c r="R57" s="10" t="s">
        <v>111</v>
      </c>
      <c r="S57" s="10" t="s">
        <v>347</v>
      </c>
      <c r="T57" s="25" t="n">
        <v>1</v>
      </c>
      <c r="U57" s="11" t="s">
        <v>48</v>
      </c>
      <c r="V57" s="10" t="s">
        <v>220</v>
      </c>
      <c r="W57" s="10" t="s">
        <v>111</v>
      </c>
      <c r="X57" s="10" t="s">
        <v>107</v>
      </c>
      <c r="Y57" s="10" t="s">
        <v>208</v>
      </c>
    </row>
    <row r="58" customFormat="false" ht="23.85" hidden="false" customHeight="false" outlineLevel="0" collapsed="false">
      <c r="A58" s="10" t="s">
        <v>369</v>
      </c>
      <c r="B58" s="10" t="s">
        <v>382</v>
      </c>
      <c r="C58" s="10" t="s">
        <v>383</v>
      </c>
      <c r="D58" s="10" t="n">
        <v>28</v>
      </c>
      <c r="E58" s="10" t="n">
        <v>28</v>
      </c>
      <c r="F58" s="11"/>
      <c r="G58" s="10" t="n">
        <v>0</v>
      </c>
      <c r="H58" s="10" t="n">
        <v>28</v>
      </c>
      <c r="I58" s="24" t="n">
        <v>75</v>
      </c>
      <c r="J58" s="10"/>
      <c r="K58" s="10"/>
      <c r="L58" s="10"/>
      <c r="M58" s="10" t="n">
        <v>1</v>
      </c>
      <c r="N58" s="10" t="n">
        <v>1</v>
      </c>
      <c r="O58" s="10" t="s">
        <v>325</v>
      </c>
      <c r="P58" s="10" t="s">
        <v>233</v>
      </c>
      <c r="Q58" s="11" t="s">
        <v>112</v>
      </c>
      <c r="R58" s="10" t="s">
        <v>111</v>
      </c>
      <c r="S58" s="10" t="s">
        <v>347</v>
      </c>
      <c r="T58" s="25" t="n">
        <v>1</v>
      </c>
      <c r="U58" s="11" t="s">
        <v>48</v>
      </c>
      <c r="V58" s="10" t="s">
        <v>220</v>
      </c>
      <c r="W58" s="10" t="s">
        <v>111</v>
      </c>
      <c r="X58" s="10" t="s">
        <v>107</v>
      </c>
      <c r="Y58" s="10" t="s">
        <v>208</v>
      </c>
    </row>
    <row r="59" customFormat="false" ht="23.85" hidden="false" customHeight="false" outlineLevel="0" collapsed="false">
      <c r="A59" s="19" t="s">
        <v>384</v>
      </c>
      <c r="B59" s="19" t="s">
        <v>385</v>
      </c>
      <c r="C59" s="19" t="s">
        <v>386</v>
      </c>
      <c r="D59" s="19" t="n">
        <v>30</v>
      </c>
      <c r="E59" s="19" t="n">
        <v>30</v>
      </c>
      <c r="F59" s="20"/>
      <c r="G59" s="19" t="n">
        <v>0</v>
      </c>
      <c r="H59" s="19" t="n">
        <v>30</v>
      </c>
      <c r="I59" s="26" t="n">
        <v>76.67</v>
      </c>
      <c r="J59" s="19" t="s">
        <v>387</v>
      </c>
      <c r="K59" s="19"/>
      <c r="L59" s="19"/>
      <c r="M59" s="19" t="n">
        <v>1</v>
      </c>
      <c r="N59" s="19" t="n">
        <v>1</v>
      </c>
      <c r="O59" s="19" t="s">
        <v>388</v>
      </c>
      <c r="P59" s="19" t="s">
        <v>389</v>
      </c>
      <c r="Q59" s="20" t="s">
        <v>135</v>
      </c>
      <c r="R59" s="19" t="s">
        <v>134</v>
      </c>
      <c r="S59" s="19" t="s">
        <v>390</v>
      </c>
      <c r="T59" s="27" t="n">
        <v>1</v>
      </c>
      <c r="U59" s="20" t="s">
        <v>136</v>
      </c>
      <c r="V59" s="19" t="s">
        <v>220</v>
      </c>
      <c r="W59" s="19" t="s">
        <v>122</v>
      </c>
      <c r="X59" s="19" t="s">
        <v>118</v>
      </c>
      <c r="Y59" s="19" t="s">
        <v>208</v>
      </c>
    </row>
    <row r="60" customFormat="false" ht="23.85" hidden="false" customHeight="false" outlineLevel="0" collapsed="false">
      <c r="A60" s="19" t="s">
        <v>391</v>
      </c>
      <c r="B60" s="19" t="s">
        <v>392</v>
      </c>
      <c r="C60" s="19" t="s">
        <v>393</v>
      </c>
      <c r="D60" s="19" t="n">
        <v>480</v>
      </c>
      <c r="E60" s="19" t="n">
        <v>30</v>
      </c>
      <c r="F60" s="20"/>
      <c r="G60" s="19" t="n">
        <v>67</v>
      </c>
      <c r="H60" s="19" t="n">
        <v>413</v>
      </c>
      <c r="I60" s="26" t="n">
        <v>89.83</v>
      </c>
      <c r="J60" s="19" t="s">
        <v>387</v>
      </c>
      <c r="K60" s="19"/>
      <c r="L60" s="19"/>
      <c r="M60" s="19" t="n">
        <v>12</v>
      </c>
      <c r="N60" s="19" t="n">
        <v>2</v>
      </c>
      <c r="O60" s="19" t="s">
        <v>394</v>
      </c>
      <c r="P60" s="19" t="s">
        <v>395</v>
      </c>
      <c r="Q60" s="20" t="s">
        <v>135</v>
      </c>
      <c r="R60" s="19" t="s">
        <v>134</v>
      </c>
      <c r="S60" s="19" t="s">
        <v>390</v>
      </c>
      <c r="T60" s="27" t="n">
        <v>1</v>
      </c>
      <c r="U60" s="20" t="s">
        <v>136</v>
      </c>
      <c r="V60" s="19" t="s">
        <v>220</v>
      </c>
      <c r="W60" s="19" t="s">
        <v>122</v>
      </c>
      <c r="X60" s="19" t="s">
        <v>118</v>
      </c>
      <c r="Y60" s="19" t="s">
        <v>208</v>
      </c>
    </row>
    <row r="61" customFormat="false" ht="23.85" hidden="false" customHeight="false" outlineLevel="0" collapsed="false">
      <c r="A61" s="19" t="s">
        <v>391</v>
      </c>
      <c r="B61" s="19" t="s">
        <v>396</v>
      </c>
      <c r="C61" s="19" t="s">
        <v>397</v>
      </c>
      <c r="D61" s="19" t="n">
        <v>150</v>
      </c>
      <c r="E61" s="19" t="n">
        <v>30</v>
      </c>
      <c r="F61" s="20"/>
      <c r="G61" s="19" t="n">
        <v>1</v>
      </c>
      <c r="H61" s="19" t="n">
        <v>149</v>
      </c>
      <c r="I61" s="26" t="n">
        <v>97.32</v>
      </c>
      <c r="J61" s="19" t="s">
        <v>387</v>
      </c>
      <c r="K61" s="19"/>
      <c r="L61" s="19"/>
      <c r="M61" s="19" t="n">
        <v>5</v>
      </c>
      <c r="N61" s="19" t="n">
        <v>1</v>
      </c>
      <c r="O61" s="19" t="s">
        <v>398</v>
      </c>
      <c r="P61" s="19" t="s">
        <v>399</v>
      </c>
      <c r="Q61" s="20" t="s">
        <v>135</v>
      </c>
      <c r="R61" s="19" t="s">
        <v>134</v>
      </c>
      <c r="S61" s="19" t="s">
        <v>390</v>
      </c>
      <c r="T61" s="27" t="n">
        <v>1</v>
      </c>
      <c r="U61" s="20" t="s">
        <v>136</v>
      </c>
      <c r="V61" s="19" t="s">
        <v>220</v>
      </c>
      <c r="W61" s="19" t="s">
        <v>122</v>
      </c>
      <c r="X61" s="19" t="s">
        <v>118</v>
      </c>
      <c r="Y61" s="19" t="s">
        <v>208</v>
      </c>
    </row>
    <row r="62" customFormat="false" ht="23.85" hidden="false" customHeight="false" outlineLevel="0" collapsed="false">
      <c r="A62" s="19" t="s">
        <v>391</v>
      </c>
      <c r="B62" s="19" t="s">
        <v>400</v>
      </c>
      <c r="C62" s="19" t="s">
        <v>401</v>
      </c>
      <c r="D62" s="19" t="n">
        <v>240</v>
      </c>
      <c r="E62" s="19" t="n">
        <v>30</v>
      </c>
      <c r="F62" s="20"/>
      <c r="G62" s="19" t="n">
        <v>46</v>
      </c>
      <c r="H62" s="19" t="n">
        <v>194</v>
      </c>
      <c r="I62" s="26" t="n">
        <v>87.63</v>
      </c>
      <c r="J62" s="19" t="s">
        <v>387</v>
      </c>
      <c r="K62" s="19"/>
      <c r="L62" s="19"/>
      <c r="M62" s="19" t="n">
        <v>8</v>
      </c>
      <c r="N62" s="19" t="n">
        <v>1</v>
      </c>
      <c r="O62" s="19" t="s">
        <v>402</v>
      </c>
      <c r="P62" s="19" t="s">
        <v>403</v>
      </c>
      <c r="Q62" s="20" t="s">
        <v>135</v>
      </c>
      <c r="R62" s="19" t="s">
        <v>134</v>
      </c>
      <c r="S62" s="19" t="s">
        <v>390</v>
      </c>
      <c r="T62" s="27" t="n">
        <v>1</v>
      </c>
      <c r="U62" s="20" t="s">
        <v>136</v>
      </c>
      <c r="V62" s="19" t="s">
        <v>220</v>
      </c>
      <c r="W62" s="19" t="s">
        <v>122</v>
      </c>
      <c r="X62" s="19" t="s">
        <v>118</v>
      </c>
      <c r="Y62" s="19" t="s">
        <v>208</v>
      </c>
    </row>
    <row r="63" customFormat="false" ht="23.85" hidden="false" customHeight="false" outlineLevel="0" collapsed="false">
      <c r="A63" s="19" t="s">
        <v>391</v>
      </c>
      <c r="B63" s="19" t="s">
        <v>404</v>
      </c>
      <c r="C63" s="19" t="s">
        <v>405</v>
      </c>
      <c r="D63" s="19" t="n">
        <v>25</v>
      </c>
      <c r="E63" s="19" t="n">
        <v>25</v>
      </c>
      <c r="F63" s="20"/>
      <c r="G63" s="19" t="n">
        <v>16</v>
      </c>
      <c r="H63" s="19" t="n">
        <v>9</v>
      </c>
      <c r="I63" s="26" t="n">
        <v>100</v>
      </c>
      <c r="J63" s="19" t="s">
        <v>387</v>
      </c>
      <c r="K63" s="19"/>
      <c r="L63" s="19"/>
      <c r="M63" s="19" t="n">
        <v>1</v>
      </c>
      <c r="N63" s="19" t="n">
        <v>1</v>
      </c>
      <c r="O63" s="19" t="s">
        <v>388</v>
      </c>
      <c r="P63" s="19" t="s">
        <v>406</v>
      </c>
      <c r="Q63" s="20" t="s">
        <v>144</v>
      </c>
      <c r="R63" s="19" t="s">
        <v>143</v>
      </c>
      <c r="S63" s="19" t="s">
        <v>407</v>
      </c>
      <c r="T63" s="27" t="n">
        <v>1</v>
      </c>
      <c r="U63" s="20" t="s">
        <v>136</v>
      </c>
      <c r="V63" s="19" t="s">
        <v>220</v>
      </c>
      <c r="W63" s="19" t="s">
        <v>122</v>
      </c>
      <c r="X63" s="19" t="s">
        <v>118</v>
      </c>
      <c r="Y63" s="19" t="s">
        <v>208</v>
      </c>
    </row>
    <row r="64" customFormat="false" ht="23.85" hidden="false" customHeight="false" outlineLevel="0" collapsed="false">
      <c r="A64" s="19" t="s">
        <v>408</v>
      </c>
      <c r="B64" s="19" t="s">
        <v>409</v>
      </c>
      <c r="C64" s="19" t="s">
        <v>410</v>
      </c>
      <c r="D64" s="19" t="n">
        <v>120</v>
      </c>
      <c r="E64" s="19" t="n">
        <v>30</v>
      </c>
      <c r="F64" s="20"/>
      <c r="G64" s="19" t="n">
        <v>1</v>
      </c>
      <c r="H64" s="19" t="n">
        <v>119</v>
      </c>
      <c r="I64" s="26" t="n">
        <v>90.76</v>
      </c>
      <c r="J64" s="19" t="s">
        <v>387</v>
      </c>
      <c r="K64" s="19"/>
      <c r="L64" s="19"/>
      <c r="M64" s="19" t="n">
        <v>4</v>
      </c>
      <c r="N64" s="19" t="n">
        <v>1</v>
      </c>
      <c r="O64" s="19" t="s">
        <v>411</v>
      </c>
      <c r="P64" s="19" t="s">
        <v>412</v>
      </c>
      <c r="Q64" s="20" t="s">
        <v>135</v>
      </c>
      <c r="R64" s="19" t="s">
        <v>134</v>
      </c>
      <c r="S64" s="19" t="s">
        <v>390</v>
      </c>
      <c r="T64" s="27" t="n">
        <v>1</v>
      </c>
      <c r="U64" s="20" t="s">
        <v>136</v>
      </c>
      <c r="V64" s="19" t="s">
        <v>220</v>
      </c>
      <c r="W64" s="19" t="s">
        <v>122</v>
      </c>
      <c r="X64" s="19" t="s">
        <v>118</v>
      </c>
      <c r="Y64" s="19" t="s">
        <v>208</v>
      </c>
    </row>
    <row r="65" customFormat="false" ht="23.85" hidden="false" customHeight="false" outlineLevel="0" collapsed="false">
      <c r="A65" s="10" t="s">
        <v>413</v>
      </c>
      <c r="B65" s="10" t="s">
        <v>414</v>
      </c>
      <c r="C65" s="10" t="s">
        <v>415</v>
      </c>
      <c r="D65" s="10" t="n">
        <v>252</v>
      </c>
      <c r="E65" s="10" t="n">
        <v>28</v>
      </c>
      <c r="F65" s="28" t="s">
        <v>416</v>
      </c>
      <c r="G65" s="10" t="n">
        <v>2</v>
      </c>
      <c r="H65" s="10" t="n">
        <v>250</v>
      </c>
      <c r="I65" s="24" t="n">
        <v>92.4</v>
      </c>
      <c r="J65" s="10"/>
      <c r="K65" s="10"/>
      <c r="L65" s="10"/>
      <c r="M65" s="10" t="n">
        <v>9</v>
      </c>
      <c r="N65" s="10" t="n">
        <v>1</v>
      </c>
      <c r="O65" s="10" t="s">
        <v>417</v>
      </c>
      <c r="P65" s="10" t="s">
        <v>269</v>
      </c>
      <c r="Q65" s="11" t="s">
        <v>112</v>
      </c>
      <c r="R65" s="10" t="s">
        <v>111</v>
      </c>
      <c r="S65" s="10" t="s">
        <v>347</v>
      </c>
      <c r="T65" s="25" t="n">
        <v>1</v>
      </c>
      <c r="U65" s="11" t="s">
        <v>48</v>
      </c>
      <c r="V65" s="10" t="s">
        <v>220</v>
      </c>
      <c r="W65" s="10" t="s">
        <v>122</v>
      </c>
      <c r="X65" s="10" t="s">
        <v>118</v>
      </c>
      <c r="Y65" s="10" t="s">
        <v>208</v>
      </c>
    </row>
    <row r="66" customFormat="false" ht="23.85" hidden="false" customHeight="false" outlineLevel="0" collapsed="false">
      <c r="A66" s="10" t="s">
        <v>418</v>
      </c>
      <c r="B66" s="10" t="s">
        <v>419</v>
      </c>
      <c r="C66" s="10" t="s">
        <v>420</v>
      </c>
      <c r="D66" s="10" t="n">
        <v>252</v>
      </c>
      <c r="E66" s="10" t="n">
        <v>28</v>
      </c>
      <c r="F66" s="28" t="s">
        <v>416</v>
      </c>
      <c r="G66" s="10" t="n">
        <v>1</v>
      </c>
      <c r="H66" s="10" t="n">
        <v>251</v>
      </c>
      <c r="I66" s="24" t="n">
        <v>93.23</v>
      </c>
      <c r="J66" s="10"/>
      <c r="K66" s="10"/>
      <c r="L66" s="10"/>
      <c r="M66" s="10" t="n">
        <v>9</v>
      </c>
      <c r="N66" s="10" t="n">
        <v>1</v>
      </c>
      <c r="O66" s="10" t="s">
        <v>417</v>
      </c>
      <c r="P66" s="10" t="s">
        <v>269</v>
      </c>
      <c r="Q66" s="11" t="s">
        <v>112</v>
      </c>
      <c r="R66" s="10" t="s">
        <v>111</v>
      </c>
      <c r="S66" s="10" t="s">
        <v>347</v>
      </c>
      <c r="T66" s="25" t="n">
        <v>1</v>
      </c>
      <c r="U66" s="11" t="s">
        <v>48</v>
      </c>
      <c r="V66" s="10" t="s">
        <v>220</v>
      </c>
      <c r="W66" s="10" t="s">
        <v>122</v>
      </c>
      <c r="X66" s="10" t="s">
        <v>118</v>
      </c>
      <c r="Y66" s="10" t="s">
        <v>208</v>
      </c>
    </row>
    <row r="67" customFormat="false" ht="23.85" hidden="false" customHeight="false" outlineLevel="0" collapsed="false">
      <c r="A67" s="19" t="s">
        <v>418</v>
      </c>
      <c r="B67" s="19" t="s">
        <v>421</v>
      </c>
      <c r="C67" s="19" t="s">
        <v>422</v>
      </c>
      <c r="D67" s="19" t="n">
        <v>100</v>
      </c>
      <c r="E67" s="19" t="n">
        <v>30</v>
      </c>
      <c r="F67" s="20"/>
      <c r="G67" s="19" t="n">
        <v>26</v>
      </c>
      <c r="H67" s="19" t="n">
        <v>74</v>
      </c>
      <c r="I67" s="26" t="n">
        <v>98.65</v>
      </c>
      <c r="J67" s="19" t="s">
        <v>387</v>
      </c>
      <c r="K67" s="19"/>
      <c r="L67" s="19"/>
      <c r="M67" s="19" t="n">
        <v>4</v>
      </c>
      <c r="N67" s="19" t="n">
        <v>1</v>
      </c>
      <c r="O67" s="19" t="s">
        <v>417</v>
      </c>
      <c r="P67" s="19" t="s">
        <v>423</v>
      </c>
      <c r="Q67" s="20" t="s">
        <v>135</v>
      </c>
      <c r="R67" s="19" t="s">
        <v>134</v>
      </c>
      <c r="S67" s="19" t="s">
        <v>390</v>
      </c>
      <c r="T67" s="27" t="n">
        <v>1</v>
      </c>
      <c r="U67" s="20" t="s">
        <v>136</v>
      </c>
      <c r="V67" s="19" t="s">
        <v>220</v>
      </c>
      <c r="W67" s="19" t="s">
        <v>122</v>
      </c>
      <c r="X67" s="19" t="s">
        <v>118</v>
      </c>
      <c r="Y67" s="19" t="s">
        <v>208</v>
      </c>
    </row>
    <row r="68" customFormat="false" ht="23.85" hidden="false" customHeight="false" outlineLevel="0" collapsed="false">
      <c r="A68" s="19" t="s">
        <v>418</v>
      </c>
      <c r="B68" s="19" t="s">
        <v>424</v>
      </c>
      <c r="C68" s="19" t="s">
        <v>425</v>
      </c>
      <c r="D68" s="19" t="n">
        <v>30</v>
      </c>
      <c r="E68" s="19" t="n">
        <v>30</v>
      </c>
      <c r="F68" s="20"/>
      <c r="G68" s="19" t="n">
        <v>13</v>
      </c>
      <c r="H68" s="19" t="n">
        <v>17</v>
      </c>
      <c r="I68" s="26" t="n">
        <v>94.12</v>
      </c>
      <c r="J68" s="19" t="s">
        <v>387</v>
      </c>
      <c r="K68" s="19"/>
      <c r="L68" s="19"/>
      <c r="M68" s="19" t="n">
        <v>1</v>
      </c>
      <c r="N68" s="19" t="n">
        <v>1</v>
      </c>
      <c r="O68" s="19" t="s">
        <v>426</v>
      </c>
      <c r="P68" s="19" t="s">
        <v>389</v>
      </c>
      <c r="Q68" s="20" t="s">
        <v>135</v>
      </c>
      <c r="R68" s="19" t="s">
        <v>134</v>
      </c>
      <c r="S68" s="19" t="s">
        <v>427</v>
      </c>
      <c r="T68" s="27" t="n">
        <v>1</v>
      </c>
      <c r="U68" s="20" t="s">
        <v>136</v>
      </c>
      <c r="V68" s="19" t="s">
        <v>220</v>
      </c>
      <c r="W68" s="19" t="s">
        <v>122</v>
      </c>
      <c r="X68" s="19" t="s">
        <v>118</v>
      </c>
      <c r="Y68" s="19" t="s">
        <v>208</v>
      </c>
    </row>
    <row r="69" customFormat="false" ht="23.85" hidden="false" customHeight="false" outlineLevel="0" collapsed="false">
      <c r="A69" s="19" t="s">
        <v>418</v>
      </c>
      <c r="B69" s="19" t="s">
        <v>428</v>
      </c>
      <c r="C69" s="19" t="s">
        <v>429</v>
      </c>
      <c r="D69" s="19" t="n">
        <v>29</v>
      </c>
      <c r="E69" s="19" t="n">
        <v>29</v>
      </c>
      <c r="F69" s="20"/>
      <c r="G69" s="19" t="n">
        <v>13</v>
      </c>
      <c r="H69" s="19" t="n">
        <v>16</v>
      </c>
      <c r="I69" s="26" t="n">
        <v>93.75</v>
      </c>
      <c r="J69" s="19" t="s">
        <v>387</v>
      </c>
      <c r="K69" s="19"/>
      <c r="L69" s="19"/>
      <c r="M69" s="19" t="n">
        <v>1</v>
      </c>
      <c r="N69" s="19" t="n">
        <v>1</v>
      </c>
      <c r="O69" s="19" t="s">
        <v>426</v>
      </c>
      <c r="P69" s="19" t="s">
        <v>430</v>
      </c>
      <c r="Q69" s="20" t="s">
        <v>135</v>
      </c>
      <c r="R69" s="19" t="s">
        <v>134</v>
      </c>
      <c r="S69" s="19" t="s">
        <v>431</v>
      </c>
      <c r="T69" s="27" t="n">
        <v>1</v>
      </c>
      <c r="U69" s="20" t="s">
        <v>136</v>
      </c>
      <c r="V69" s="19" t="s">
        <v>220</v>
      </c>
      <c r="W69" s="19" t="s">
        <v>122</v>
      </c>
      <c r="X69" s="19" t="s">
        <v>118</v>
      </c>
      <c r="Y69" s="19" t="s">
        <v>208</v>
      </c>
    </row>
    <row r="70" customFormat="false" ht="23.85" hidden="false" customHeight="false" outlineLevel="0" collapsed="false">
      <c r="A70" s="19" t="s">
        <v>418</v>
      </c>
      <c r="B70" s="19" t="s">
        <v>432</v>
      </c>
      <c r="C70" s="19" t="s">
        <v>433</v>
      </c>
      <c r="D70" s="19" t="n">
        <v>270</v>
      </c>
      <c r="E70" s="19" t="n">
        <v>30</v>
      </c>
      <c r="F70" s="20"/>
      <c r="G70" s="19" t="n">
        <v>203</v>
      </c>
      <c r="H70" s="19" t="n">
        <v>67</v>
      </c>
      <c r="I70" s="26" t="n">
        <v>98.51</v>
      </c>
      <c r="J70" s="19" t="s">
        <v>387</v>
      </c>
      <c r="K70" s="19"/>
      <c r="L70" s="19"/>
      <c r="M70" s="19" t="n">
        <v>9</v>
      </c>
      <c r="N70" s="19" t="n">
        <v>1</v>
      </c>
      <c r="O70" s="19" t="s">
        <v>417</v>
      </c>
      <c r="P70" s="19" t="s">
        <v>434</v>
      </c>
      <c r="Q70" s="20" t="s">
        <v>135</v>
      </c>
      <c r="R70" s="19" t="s">
        <v>134</v>
      </c>
      <c r="S70" s="19" t="s">
        <v>390</v>
      </c>
      <c r="T70" s="27" t="n">
        <v>1</v>
      </c>
      <c r="U70" s="20" t="s">
        <v>136</v>
      </c>
      <c r="V70" s="19" t="s">
        <v>220</v>
      </c>
      <c r="W70" s="19" t="s">
        <v>122</v>
      </c>
      <c r="X70" s="19" t="s">
        <v>118</v>
      </c>
      <c r="Y70" s="19" t="s">
        <v>208</v>
      </c>
    </row>
    <row r="71" customFormat="false" ht="23.85" hidden="false" customHeight="false" outlineLevel="0" collapsed="false">
      <c r="A71" s="19" t="s">
        <v>435</v>
      </c>
      <c r="B71" s="19" t="s">
        <v>436</v>
      </c>
      <c r="C71" s="19" t="s">
        <v>437</v>
      </c>
      <c r="D71" s="19" t="n">
        <v>10</v>
      </c>
      <c r="E71" s="19" t="n">
        <v>10</v>
      </c>
      <c r="F71" s="20"/>
      <c r="G71" s="19" t="n">
        <v>0</v>
      </c>
      <c r="H71" s="19" t="n">
        <v>10</v>
      </c>
      <c r="I71" s="26" t="n">
        <v>100</v>
      </c>
      <c r="J71" s="19" t="s">
        <v>387</v>
      </c>
      <c r="K71" s="19"/>
      <c r="L71" s="19"/>
      <c r="M71" s="19" t="n">
        <v>1</v>
      </c>
      <c r="N71" s="19" t="n">
        <v>1</v>
      </c>
      <c r="O71" s="19" t="s">
        <v>438</v>
      </c>
      <c r="P71" s="19" t="s">
        <v>439</v>
      </c>
      <c r="Q71" s="20" t="s">
        <v>144</v>
      </c>
      <c r="R71" s="19" t="s">
        <v>143</v>
      </c>
      <c r="S71" s="19" t="s">
        <v>440</v>
      </c>
      <c r="T71" s="27" t="n">
        <v>1</v>
      </c>
      <c r="U71" s="20" t="s">
        <v>136</v>
      </c>
      <c r="V71" s="19" t="s">
        <v>220</v>
      </c>
      <c r="W71" s="19" t="s">
        <v>122</v>
      </c>
      <c r="X71" s="19" t="s">
        <v>118</v>
      </c>
      <c r="Y71" s="19" t="s">
        <v>208</v>
      </c>
    </row>
    <row r="72" customFormat="false" ht="23.85" hidden="false" customHeight="false" outlineLevel="0" collapsed="false">
      <c r="A72" s="19" t="s">
        <v>441</v>
      </c>
      <c r="B72" s="19" t="s">
        <v>442</v>
      </c>
      <c r="C72" s="19" t="s">
        <v>443</v>
      </c>
      <c r="D72" s="19" t="n">
        <v>58</v>
      </c>
      <c r="E72" s="19" t="n">
        <v>30</v>
      </c>
      <c r="F72" s="20"/>
      <c r="G72" s="19" t="n">
        <v>0</v>
      </c>
      <c r="H72" s="19" t="n">
        <v>58</v>
      </c>
      <c r="I72" s="26" t="n">
        <v>86.21</v>
      </c>
      <c r="J72" s="19" t="s">
        <v>387</v>
      </c>
      <c r="K72" s="19"/>
      <c r="L72" s="19"/>
      <c r="M72" s="19" t="n">
        <v>2</v>
      </c>
      <c r="N72" s="19" t="n">
        <v>2</v>
      </c>
      <c r="O72" s="19" t="s">
        <v>444</v>
      </c>
      <c r="P72" s="19" t="s">
        <v>445</v>
      </c>
      <c r="Q72" s="20" t="s">
        <v>144</v>
      </c>
      <c r="R72" s="19" t="s">
        <v>143</v>
      </c>
      <c r="S72" s="19" t="s">
        <v>390</v>
      </c>
      <c r="T72" s="27" t="n">
        <v>1</v>
      </c>
      <c r="U72" s="20" t="s">
        <v>136</v>
      </c>
      <c r="V72" s="19" t="s">
        <v>220</v>
      </c>
      <c r="W72" s="19" t="s">
        <v>122</v>
      </c>
      <c r="X72" s="19" t="s">
        <v>118</v>
      </c>
      <c r="Y72" s="19" t="s">
        <v>208</v>
      </c>
    </row>
    <row r="73" customFormat="false" ht="23.85" hidden="false" customHeight="false" outlineLevel="0" collapsed="false">
      <c r="A73" s="19" t="s">
        <v>441</v>
      </c>
      <c r="B73" s="19" t="s">
        <v>446</v>
      </c>
      <c r="C73" s="19" t="s">
        <v>447</v>
      </c>
      <c r="D73" s="19" t="n">
        <v>71</v>
      </c>
      <c r="E73" s="19" t="n">
        <v>30</v>
      </c>
      <c r="F73" s="20"/>
      <c r="G73" s="19" t="n">
        <v>0</v>
      </c>
      <c r="H73" s="19" t="n">
        <v>71</v>
      </c>
      <c r="I73" s="26" t="n">
        <v>88.73</v>
      </c>
      <c r="J73" s="19" t="s">
        <v>387</v>
      </c>
      <c r="K73" s="19"/>
      <c r="L73" s="19"/>
      <c r="M73" s="19" t="n">
        <v>4</v>
      </c>
      <c r="N73" s="19" t="n">
        <v>2</v>
      </c>
      <c r="O73" s="19" t="s">
        <v>448</v>
      </c>
      <c r="P73" s="19" t="s">
        <v>449</v>
      </c>
      <c r="Q73" s="20" t="s">
        <v>144</v>
      </c>
      <c r="R73" s="19" t="s">
        <v>143</v>
      </c>
      <c r="S73" s="19" t="s">
        <v>390</v>
      </c>
      <c r="T73" s="27" t="n">
        <v>1</v>
      </c>
      <c r="U73" s="20" t="s">
        <v>136</v>
      </c>
      <c r="V73" s="19" t="s">
        <v>220</v>
      </c>
      <c r="W73" s="19" t="s">
        <v>122</v>
      </c>
      <c r="X73" s="19" t="s">
        <v>118</v>
      </c>
      <c r="Y73" s="19" t="s">
        <v>208</v>
      </c>
    </row>
    <row r="74" customFormat="false" ht="23.85" hidden="false" customHeight="false" outlineLevel="0" collapsed="false">
      <c r="A74" s="19" t="s">
        <v>441</v>
      </c>
      <c r="B74" s="19" t="s">
        <v>450</v>
      </c>
      <c r="C74" s="19" t="s">
        <v>451</v>
      </c>
      <c r="D74" s="19" t="n">
        <v>810</v>
      </c>
      <c r="E74" s="19" t="n">
        <v>30</v>
      </c>
      <c r="F74" s="20"/>
      <c r="G74" s="19" t="n">
        <v>5</v>
      </c>
      <c r="H74" s="19" t="n">
        <v>805</v>
      </c>
      <c r="I74" s="26" t="n">
        <v>89.07</v>
      </c>
      <c r="J74" s="19" t="s">
        <v>387</v>
      </c>
      <c r="K74" s="19"/>
      <c r="L74" s="19"/>
      <c r="M74" s="19" t="n">
        <v>25</v>
      </c>
      <c r="N74" s="19" t="n">
        <v>2</v>
      </c>
      <c r="O74" s="19" t="s">
        <v>452</v>
      </c>
      <c r="P74" s="19" t="s">
        <v>453</v>
      </c>
      <c r="Q74" s="20" t="s">
        <v>144</v>
      </c>
      <c r="R74" s="19" t="s">
        <v>143</v>
      </c>
      <c r="S74" s="19" t="s">
        <v>390</v>
      </c>
      <c r="T74" s="27" t="n">
        <v>1</v>
      </c>
      <c r="U74" s="20" t="s">
        <v>136</v>
      </c>
      <c r="V74" s="19" t="s">
        <v>220</v>
      </c>
      <c r="W74" s="19" t="s">
        <v>122</v>
      </c>
      <c r="X74" s="19" t="s">
        <v>118</v>
      </c>
      <c r="Y74" s="19" t="s">
        <v>208</v>
      </c>
    </row>
    <row r="75" customFormat="false" ht="35.05" hidden="false" customHeight="false" outlineLevel="0" collapsed="false">
      <c r="A75" s="19" t="s">
        <v>441</v>
      </c>
      <c r="B75" s="19" t="s">
        <v>454</v>
      </c>
      <c r="C75" s="19" t="s">
        <v>455</v>
      </c>
      <c r="D75" s="19" t="n">
        <v>546</v>
      </c>
      <c r="E75" s="19" t="n">
        <v>30</v>
      </c>
      <c r="F75" s="20"/>
      <c r="G75" s="19" t="n">
        <v>71</v>
      </c>
      <c r="H75" s="19" t="n">
        <v>474</v>
      </c>
      <c r="I75" s="26" t="n">
        <v>90.72</v>
      </c>
      <c r="J75" s="19" t="s">
        <v>387</v>
      </c>
      <c r="K75" s="19"/>
      <c r="L75" s="19"/>
      <c r="M75" s="19" t="n">
        <v>19</v>
      </c>
      <c r="N75" s="19" t="n">
        <v>1</v>
      </c>
      <c r="O75" s="19" t="s">
        <v>456</v>
      </c>
      <c r="P75" s="19" t="s">
        <v>457</v>
      </c>
      <c r="Q75" s="20" t="s">
        <v>144</v>
      </c>
      <c r="R75" s="19" t="s">
        <v>143</v>
      </c>
      <c r="S75" s="19" t="s">
        <v>390</v>
      </c>
      <c r="T75" s="27" t="n">
        <v>1</v>
      </c>
      <c r="U75" s="20" t="s">
        <v>136</v>
      </c>
      <c r="V75" s="19" t="s">
        <v>220</v>
      </c>
      <c r="W75" s="19" t="s">
        <v>122</v>
      </c>
      <c r="X75" s="19" t="s">
        <v>118</v>
      </c>
      <c r="Y75" s="19" t="s">
        <v>208</v>
      </c>
    </row>
    <row r="76" customFormat="false" ht="23.85" hidden="false" customHeight="false" outlineLevel="0" collapsed="false">
      <c r="A76" s="19" t="s">
        <v>441</v>
      </c>
      <c r="B76" s="19" t="s">
        <v>458</v>
      </c>
      <c r="C76" s="19" t="s">
        <v>459</v>
      </c>
      <c r="D76" s="19" t="n">
        <v>240</v>
      </c>
      <c r="E76" s="19" t="n">
        <v>30</v>
      </c>
      <c r="F76" s="20"/>
      <c r="G76" s="19" t="n">
        <v>51</v>
      </c>
      <c r="H76" s="19" t="n">
        <v>189</v>
      </c>
      <c r="I76" s="26" t="n">
        <v>79.89</v>
      </c>
      <c r="J76" s="19" t="s">
        <v>387</v>
      </c>
      <c r="K76" s="19"/>
      <c r="L76" s="19"/>
      <c r="M76" s="19" t="n">
        <v>8</v>
      </c>
      <c r="N76" s="19" t="n">
        <v>1</v>
      </c>
      <c r="O76" s="19" t="s">
        <v>243</v>
      </c>
      <c r="P76" s="19" t="s">
        <v>403</v>
      </c>
      <c r="Q76" s="20" t="s">
        <v>144</v>
      </c>
      <c r="R76" s="19" t="s">
        <v>143</v>
      </c>
      <c r="S76" s="19" t="s">
        <v>390</v>
      </c>
      <c r="T76" s="27" t="n">
        <v>1</v>
      </c>
      <c r="U76" s="20" t="s">
        <v>136</v>
      </c>
      <c r="V76" s="19" t="s">
        <v>220</v>
      </c>
      <c r="W76" s="19" t="s">
        <v>122</v>
      </c>
      <c r="X76" s="19" t="s">
        <v>118</v>
      </c>
      <c r="Y76" s="19" t="s">
        <v>208</v>
      </c>
    </row>
    <row r="77" customFormat="false" ht="23.85" hidden="false" customHeight="false" outlineLevel="0" collapsed="false">
      <c r="A77" s="19" t="s">
        <v>460</v>
      </c>
      <c r="B77" s="19" t="s">
        <v>461</v>
      </c>
      <c r="C77" s="19" t="s">
        <v>462</v>
      </c>
      <c r="D77" s="19" t="n">
        <v>60</v>
      </c>
      <c r="E77" s="19" t="n">
        <v>30</v>
      </c>
      <c r="F77" s="20"/>
      <c r="G77" s="19" t="n">
        <v>0</v>
      </c>
      <c r="H77" s="19" t="n">
        <v>60</v>
      </c>
      <c r="I77" s="26" t="n">
        <v>88.33</v>
      </c>
      <c r="J77" s="19" t="s">
        <v>387</v>
      </c>
      <c r="K77" s="19" t="s">
        <v>463</v>
      </c>
      <c r="L77" s="19"/>
      <c r="M77" s="19" t="n">
        <v>2</v>
      </c>
      <c r="N77" s="19" t="n">
        <v>1</v>
      </c>
      <c r="O77" s="19" t="s">
        <v>464</v>
      </c>
      <c r="P77" s="19" t="s">
        <v>465</v>
      </c>
      <c r="Q77" s="20" t="s">
        <v>144</v>
      </c>
      <c r="R77" s="19" t="s">
        <v>143</v>
      </c>
      <c r="S77" s="19" t="s">
        <v>390</v>
      </c>
      <c r="T77" s="27" t="n">
        <v>1</v>
      </c>
      <c r="U77" s="20" t="s">
        <v>136</v>
      </c>
      <c r="V77" s="19" t="s">
        <v>220</v>
      </c>
      <c r="W77" s="19" t="s">
        <v>122</v>
      </c>
      <c r="X77" s="19" t="s">
        <v>118</v>
      </c>
      <c r="Y77" s="19" t="s">
        <v>208</v>
      </c>
    </row>
    <row r="78" customFormat="false" ht="35.05" hidden="false" customHeight="false" outlineLevel="0" collapsed="false">
      <c r="A78" s="19" t="s">
        <v>466</v>
      </c>
      <c r="B78" s="19" t="s">
        <v>467</v>
      </c>
      <c r="C78" s="19" t="s">
        <v>468</v>
      </c>
      <c r="D78" s="19" t="n">
        <v>2424</v>
      </c>
      <c r="E78" s="19" t="n">
        <v>30</v>
      </c>
      <c r="F78" s="20"/>
      <c r="G78" s="19" t="n">
        <v>370</v>
      </c>
      <c r="H78" s="19" t="n">
        <v>2051</v>
      </c>
      <c r="I78" s="26" t="n">
        <v>93.86</v>
      </c>
      <c r="J78" s="19" t="s">
        <v>469</v>
      </c>
      <c r="K78" s="19" t="s">
        <v>463</v>
      </c>
      <c r="L78" s="19"/>
      <c r="M78" s="19" t="n">
        <v>14</v>
      </c>
      <c r="N78" s="19" t="n">
        <v>8</v>
      </c>
      <c r="O78" s="19" t="s">
        <v>470</v>
      </c>
      <c r="P78" s="19" t="s">
        <v>471</v>
      </c>
      <c r="Q78" s="20" t="s">
        <v>144</v>
      </c>
      <c r="R78" s="19" t="s">
        <v>143</v>
      </c>
      <c r="S78" s="19" t="s">
        <v>390</v>
      </c>
      <c r="T78" s="27" t="n">
        <v>1</v>
      </c>
      <c r="U78" s="20" t="s">
        <v>136</v>
      </c>
      <c r="V78" s="19" t="s">
        <v>220</v>
      </c>
      <c r="W78" s="19" t="s">
        <v>122</v>
      </c>
      <c r="X78" s="19" t="s">
        <v>118</v>
      </c>
      <c r="Y78" s="19" t="s">
        <v>208</v>
      </c>
    </row>
  </sheetData>
  <autoFilter ref="A2:Y7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62"/>
  </cols>
  <sheetData>
    <row r="1" customFormat="false" ht="15" hidden="false" customHeight="false" outlineLevel="0" collapsed="false">
      <c r="A1" s="1"/>
      <c r="B1" s="1"/>
      <c r="C1" s="1"/>
      <c r="D1" s="1"/>
      <c r="E1" s="1"/>
    </row>
    <row r="2" customFormat="false" ht="17.35" hidden="false" customHeight="false" outlineLevel="0" collapsed="false">
      <c r="A2" s="1"/>
      <c r="B2" s="2" t="s">
        <v>472</v>
      </c>
      <c r="C2" s="1"/>
      <c r="D2" s="1"/>
      <c r="E2" s="1"/>
    </row>
    <row r="3" customFormat="false" ht="15" hidden="false" customHeight="false" outlineLevel="0" collapsed="false">
      <c r="A3" s="1"/>
      <c r="B3" s="3" t="s">
        <v>473</v>
      </c>
      <c r="C3" s="1"/>
      <c r="D3" s="1"/>
      <c r="E3" s="1"/>
    </row>
    <row r="4" customFormat="false" ht="15" hidden="false" customHeight="false" outlineLevel="0" collapsed="false">
      <c r="A4" s="1"/>
      <c r="B4" s="1"/>
      <c r="C4" s="1"/>
      <c r="D4" s="1"/>
      <c r="E4" s="1"/>
    </row>
    <row r="5" customFormat="false" ht="45.75" hidden="false" customHeight="true" outlineLevel="0" collapsed="false">
      <c r="A5" s="1"/>
      <c r="B5" s="4" t="s">
        <v>474</v>
      </c>
      <c r="C5" s="1"/>
      <c r="D5" s="1"/>
      <c r="E5" s="7" t="s">
        <v>475</v>
      </c>
    </row>
    <row r="6" customFormat="false" ht="15" hidden="false" customHeight="false" outlineLevel="0" collapsed="false">
      <c r="A6" s="1"/>
      <c r="B6" s="1"/>
      <c r="C6" s="1"/>
      <c r="D6" s="1"/>
      <c r="E6" s="1"/>
    </row>
    <row r="7" customFormat="false" ht="15" hidden="false" customHeight="false" outlineLevel="0" collapsed="false">
      <c r="A7" s="9"/>
      <c r="B7" s="9" t="s">
        <v>476</v>
      </c>
      <c r="C7" s="9" t="s">
        <v>477</v>
      </c>
      <c r="D7" s="9" t="s">
        <v>478</v>
      </c>
      <c r="E7" s="9" t="s">
        <v>479</v>
      </c>
    </row>
    <row r="8" customFormat="false" ht="35.05" hidden="false" customHeight="false" outlineLevel="0" collapsed="false">
      <c r="A8" s="1"/>
      <c r="B8" s="17" t="s">
        <v>480</v>
      </c>
      <c r="C8" s="29" t="s">
        <v>481</v>
      </c>
      <c r="D8" s="18" t="s">
        <v>482</v>
      </c>
      <c r="E8" s="16" t="s">
        <v>483</v>
      </c>
    </row>
    <row r="9" customFormat="false" ht="23.85" hidden="false" customHeight="false" outlineLevel="0" collapsed="false">
      <c r="A9" s="1"/>
      <c r="B9" s="20" t="s">
        <v>484</v>
      </c>
      <c r="C9" s="23" t="s">
        <v>485</v>
      </c>
      <c r="D9" s="21" t="s">
        <v>486</v>
      </c>
      <c r="E9" s="19" t="s">
        <v>487</v>
      </c>
    </row>
    <row r="10" customFormat="false" ht="23.85" hidden="false" customHeight="false" outlineLevel="0" collapsed="false">
      <c r="A10" s="1"/>
      <c r="B10" s="20" t="s">
        <v>488</v>
      </c>
      <c r="C10" s="23" t="s">
        <v>489</v>
      </c>
      <c r="D10" s="21" t="s">
        <v>490</v>
      </c>
      <c r="E10" s="19" t="s">
        <v>491</v>
      </c>
    </row>
    <row r="11" customFormat="false" ht="15" hidden="false" customHeight="false" outlineLevel="0" collapsed="false">
      <c r="A11" s="1"/>
      <c r="B11" s="20" t="s">
        <v>492</v>
      </c>
      <c r="C11" s="23" t="s">
        <v>493</v>
      </c>
      <c r="D11" s="21" t="s">
        <v>494</v>
      </c>
      <c r="E11" s="19" t="s">
        <v>495</v>
      </c>
    </row>
    <row r="12" customFormat="false" ht="15" hidden="false" customHeight="false" outlineLevel="0" collapsed="false">
      <c r="A12" s="1"/>
      <c r="B12" s="20" t="s">
        <v>496</v>
      </c>
      <c r="C12" s="23" t="s">
        <v>497</v>
      </c>
      <c r="D12" s="21" t="s">
        <v>498</v>
      </c>
      <c r="E12" s="19" t="s">
        <v>499</v>
      </c>
    </row>
    <row r="13" customFormat="false" ht="23.85" hidden="false" customHeight="false" outlineLevel="0" collapsed="false">
      <c r="A13" s="1"/>
      <c r="B13" s="17" t="s">
        <v>500</v>
      </c>
      <c r="C13" s="29" t="s">
        <v>501</v>
      </c>
      <c r="D13" s="18" t="s">
        <v>502</v>
      </c>
      <c r="E13" s="16" t="s">
        <v>503</v>
      </c>
    </row>
    <row r="14" customFormat="false" ht="15" hidden="false" customHeight="false" outlineLevel="0" collapsed="false">
      <c r="A14" s="1"/>
      <c r="B14" s="17" t="s">
        <v>504</v>
      </c>
      <c r="C14" s="29" t="s">
        <v>505</v>
      </c>
      <c r="D14" s="18" t="s">
        <v>506</v>
      </c>
      <c r="E14" s="16" t="s">
        <v>507</v>
      </c>
    </row>
    <row r="15" customFormat="false" ht="15" hidden="false" customHeight="false" outlineLevel="0" collapsed="false">
      <c r="A15" s="1"/>
      <c r="B15" s="17" t="s">
        <v>508</v>
      </c>
      <c r="C15" s="29" t="s">
        <v>509</v>
      </c>
      <c r="D15" s="18" t="s">
        <v>510</v>
      </c>
      <c r="E15" s="16" t="s">
        <v>507</v>
      </c>
    </row>
    <row r="16" customFormat="false" ht="15" hidden="false" customHeight="false" outlineLevel="0" collapsed="false">
      <c r="A16" s="1"/>
      <c r="B16" s="17" t="s">
        <v>511</v>
      </c>
      <c r="C16" s="29" t="s">
        <v>512</v>
      </c>
      <c r="D16" s="18" t="s">
        <v>513</v>
      </c>
      <c r="E16" s="16" t="s">
        <v>514</v>
      </c>
    </row>
    <row r="17" customFormat="false" ht="15" hidden="false" customHeight="false" outlineLevel="0" collapsed="false">
      <c r="A17" s="1"/>
      <c r="B17" s="20" t="s">
        <v>515</v>
      </c>
      <c r="C17" s="23" t="s">
        <v>516</v>
      </c>
      <c r="D17" s="21" t="s">
        <v>517</v>
      </c>
      <c r="E17" s="19" t="s">
        <v>518</v>
      </c>
    </row>
    <row r="18" customFormat="false" ht="23.85" hidden="false" customHeight="false" outlineLevel="0" collapsed="false">
      <c r="A18" s="1"/>
      <c r="B18" s="20" t="s">
        <v>519</v>
      </c>
      <c r="C18" s="23" t="s">
        <v>520</v>
      </c>
      <c r="D18" s="21" t="s">
        <v>521</v>
      </c>
      <c r="E18" s="19" t="s">
        <v>522</v>
      </c>
    </row>
    <row r="19" customFormat="false" ht="35.05" hidden="false" customHeight="false" outlineLevel="0" collapsed="false">
      <c r="A19" s="1"/>
      <c r="B19" s="20" t="s">
        <v>523</v>
      </c>
      <c r="C19" s="23" t="s">
        <v>524</v>
      </c>
      <c r="D19" s="21" t="s">
        <v>525</v>
      </c>
      <c r="E19" s="19" t="s">
        <v>526</v>
      </c>
    </row>
    <row r="20" customFormat="false" ht="15" hidden="false" customHeight="false" outlineLevel="0" collapsed="false">
      <c r="A20" s="1"/>
      <c r="B20" s="1"/>
      <c r="C20" s="1"/>
      <c r="D20" s="1"/>
      <c r="E20" s="1"/>
    </row>
    <row r="21" customFormat="false" ht="15" hidden="false" customHeight="false" outlineLevel="0" collapsed="false">
      <c r="A21" s="1"/>
      <c r="B21" s="30" t="s">
        <v>527</v>
      </c>
      <c r="C21" s="1"/>
      <c r="D21" s="1"/>
      <c r="E21" s="1"/>
    </row>
    <row r="22" customFormat="false" ht="57.45" hidden="false" customHeight="false" outlineLevel="0" collapsed="false">
      <c r="A22" s="1"/>
      <c r="B22" s="7" t="s">
        <v>528</v>
      </c>
      <c r="C22" s="31" t="s">
        <v>529</v>
      </c>
      <c r="D22" s="1"/>
      <c r="E22" s="1"/>
    </row>
    <row r="23" customFormat="false" ht="57.45" hidden="false" customHeight="false" outlineLevel="0" collapsed="false">
      <c r="A23" s="1"/>
      <c r="B23" s="7" t="s">
        <v>528</v>
      </c>
      <c r="C23" s="31" t="s">
        <v>530</v>
      </c>
      <c r="D23" s="1"/>
      <c r="E23" s="1"/>
    </row>
    <row r="24" customFormat="false" ht="57.45" hidden="false" customHeight="false" outlineLevel="0" collapsed="false">
      <c r="A24" s="1"/>
      <c r="B24" s="7" t="s">
        <v>528</v>
      </c>
      <c r="C24" s="31" t="s">
        <v>531</v>
      </c>
      <c r="D24" s="1"/>
      <c r="E24" s="1"/>
    </row>
    <row r="25" customFormat="false" ht="57.45" hidden="false" customHeight="false" outlineLevel="0" collapsed="false">
      <c r="A25" s="1"/>
      <c r="B25" s="7" t="s">
        <v>528</v>
      </c>
      <c r="C25" s="31" t="s">
        <v>532</v>
      </c>
      <c r="D25" s="1"/>
      <c r="E25" s="1"/>
    </row>
    <row r="26" customFormat="false" ht="15" hidden="false" customHeight="false" outlineLevel="0" collapsed="false">
      <c r="A26" s="1"/>
      <c r="B26" s="1"/>
      <c r="C26" s="1"/>
      <c r="D26" s="1"/>
      <c r="E26" s="1"/>
    </row>
    <row r="27" customFormat="false" ht="15" hidden="false" customHeight="false" outlineLevel="0" collapsed="false">
      <c r="A27" s="1"/>
      <c r="B27" s="4" t="s">
        <v>533</v>
      </c>
      <c r="C27" s="1"/>
      <c r="D27" s="1"/>
      <c r="E27" s="1"/>
    </row>
    <row r="28" customFormat="false" ht="46.25" hidden="false" customHeight="false" outlineLevel="0" collapsed="false">
      <c r="A28" s="1"/>
      <c r="B28" s="7" t="s">
        <v>528</v>
      </c>
      <c r="C28" s="31" t="s">
        <v>534</v>
      </c>
      <c r="D28" s="1"/>
      <c r="E28" s="1"/>
    </row>
    <row r="29" customFormat="false" ht="57.45" hidden="false" customHeight="false" outlineLevel="0" collapsed="false">
      <c r="A29" s="1"/>
      <c r="B29" s="7" t="s">
        <v>528</v>
      </c>
      <c r="C29" s="31" t="s">
        <v>535</v>
      </c>
      <c r="D29" s="1"/>
      <c r="E29" s="1"/>
    </row>
    <row r="30" customFormat="false" ht="35.05" hidden="false" customHeight="false" outlineLevel="0" collapsed="false">
      <c r="A30" s="1"/>
      <c r="B30" s="7" t="s">
        <v>528</v>
      </c>
      <c r="C30" s="31" t="s">
        <v>536</v>
      </c>
      <c r="D30" s="1"/>
      <c r="E30" s="1"/>
    </row>
    <row r="31" customFormat="false" ht="57.45" hidden="false" customHeight="false" outlineLevel="0" collapsed="false">
      <c r="A31" s="1"/>
      <c r="B31" s="7" t="s">
        <v>528</v>
      </c>
      <c r="C31" s="31" t="s">
        <v>537</v>
      </c>
      <c r="D31" s="1"/>
      <c r="E31" s="1"/>
    </row>
    <row r="32" customFormat="false" ht="35.05" hidden="false" customHeight="false" outlineLevel="0" collapsed="false">
      <c r="A32" s="1"/>
      <c r="B32" s="7" t="s">
        <v>528</v>
      </c>
      <c r="C32" s="31" t="s">
        <v>538</v>
      </c>
      <c r="D32" s="1"/>
      <c r="E3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2026-07-22T07:20:30Z</dcterms:created>
  <dc:creator>openpyxl</dc:creator>
  <dc:description/>
  <dc:language>en-US</dc:language>
  <cp:lastModifiedBy/>
  <dcterms:modified xsi:type="dcterms:W3CDTF">2026-07-22T07:20:30Z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